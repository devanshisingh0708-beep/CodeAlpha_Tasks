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4C\EXCELCNV\69fd66d2-b02e-45d9-8d0b-907add624d2a\"/>
    </mc:Choice>
  </mc:AlternateContent>
  <xr:revisionPtr revIDLastSave="0" documentId="8_{D15BDC48-945E-4679-99C9-3BF5276CE68F}" xr6:coauthVersionLast="47" xr6:coauthVersionMax="47" xr10:uidLastSave="{00000000-0000-0000-0000-000000000000}"/>
  <bookViews>
    <workbookView xWindow="-60" yWindow="-60" windowWidth="15480" windowHeight="11640" xr2:uid="{FE6F56FB-39B3-4145-8710-C253DB4583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3" i="1"/>
  <c r="O6" i="1"/>
  <c r="O5" i="1"/>
  <c r="O4" i="1"/>
  <c r="O3" i="1"/>
  <c r="U55" i="1"/>
  <c r="U54" i="1"/>
  <c r="U33" i="1"/>
  <c r="U36" i="1"/>
  <c r="U35" i="1"/>
  <c r="U34" i="1"/>
  <c r="U32" i="1"/>
  <c r="U21" i="1"/>
  <c r="U20" i="1"/>
  <c r="U18" i="1"/>
  <c r="U19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U10" i="1"/>
  <c r="U11" i="1"/>
  <c r="U12" i="1"/>
  <c r="U13" i="1"/>
  <c r="U14" i="1"/>
  <c r="Z13" i="1" s="1"/>
  <c r="Z14" i="1"/>
  <c r="Z3" i="1"/>
  <c r="Z4" i="1"/>
  <c r="Z5" i="1"/>
  <c r="Z6" i="1"/>
  <c r="Z7" i="1"/>
  <c r="Z2" i="1"/>
  <c r="U3" i="1"/>
  <c r="U4" i="1"/>
  <c r="U5" i="1"/>
  <c r="U2" i="1"/>
  <c r="Z8" i="1" l="1"/>
  <c r="Z9" i="1"/>
  <c r="Z10" i="1"/>
  <c r="Z11" i="1"/>
  <c r="Z12" i="1"/>
  <c r="U15" i="1" l="1"/>
</calcChain>
</file>

<file path=xl/sharedStrings.xml><?xml version="1.0" encoding="utf-8"?>
<sst xmlns="http://schemas.openxmlformats.org/spreadsheetml/2006/main" count="3040" uniqueCount="2034">
  <si>
    <t>Title</t>
  </si>
  <si>
    <t>Price (Â£)</t>
  </si>
  <si>
    <t>Availability</t>
  </si>
  <si>
    <t>Rating (1-5)</t>
  </si>
  <si>
    <t>Book Link</t>
  </si>
  <si>
    <t>Missing Values</t>
  </si>
  <si>
    <t>A Light in the Attic</t>
  </si>
  <si>
    <t>In stock</t>
  </si>
  <si>
    <t>https://books.toscrape.com/catalogue/a-light-in-the-attic_1000/index.html</t>
  </si>
  <si>
    <t>General Statistics</t>
  </si>
  <si>
    <t>Tipping the Velvet</t>
  </si>
  <si>
    <t>https://books.toscrape.com/catalogue/tipping-the-velvet_999/index.html</t>
  </si>
  <si>
    <t>Total no. of books</t>
  </si>
  <si>
    <t>In Stock</t>
  </si>
  <si>
    <t>Price</t>
  </si>
  <si>
    <t>Soumission</t>
  </si>
  <si>
    <t>https://books.toscrape.com/catalogue/soumission_998/index.html</t>
  </si>
  <si>
    <t>Minimum book price</t>
  </si>
  <si>
    <t>Out of Stock</t>
  </si>
  <si>
    <t>Sharp Objects</t>
  </si>
  <si>
    <t>https://books.toscrape.com/catalogue/sharp-objects_997/index.html</t>
  </si>
  <si>
    <t>Maximum book price</t>
  </si>
  <si>
    <t>Rating</t>
  </si>
  <si>
    <t>Most books have rating 1</t>
  </si>
  <si>
    <t>Sapiens: A Brief History of Humankind</t>
  </si>
  <si>
    <t>https://books.toscrape.com/catalogue/sapiens-a-brief-history-of-humankind_996/index.html</t>
  </si>
  <si>
    <t>Average Book Price</t>
  </si>
  <si>
    <t>No Missing Values</t>
  </si>
  <si>
    <t>The Requiem Red</t>
  </si>
  <si>
    <t>https://books.toscrape.com/catalogue/the-requiem-red_995/index.html</t>
  </si>
  <si>
    <t>The Dirty Little Secrets of Getting Your Dream Job</t>
  </si>
  <si>
    <t>https://books.toscrape.com/catalogue/the-dirty-little-secrets-of-getting-your-dream-job_994/index.html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</si>
  <si>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</si>
  <si>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</si>
  <si>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Outlier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</si>
  <si>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</si>
  <si>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</si>
  <si>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Q1</t>
  </si>
  <si>
    <t>The Black Maria</t>
  </si>
  <si>
    <t>https://books.toscrape.com/catalogue/the-black-maria_991/index.html</t>
  </si>
  <si>
    <t>Q3</t>
  </si>
  <si>
    <t>Starving Hearts (Triangular Trade Trilogy, #1)</t>
  </si>
  <si>
    <t>https://books.toscrape.com/catalogue/starving-hearts-triangular-trade-trilogy-1_990/index.html</t>
  </si>
  <si>
    <t>IQR</t>
  </si>
  <si>
    <t>Shakespeare's Sonnets</t>
  </si>
  <si>
    <t>https://books.toscrape.com/catalogue/shakespeares-sonnets_989/index.html</t>
  </si>
  <si>
    <t>Lower Bound</t>
  </si>
  <si>
    <t>Set Me Free</t>
  </si>
  <si>
    <t>https://books.toscrape.com/catalogue/set-me-free_988/index.html</t>
  </si>
  <si>
    <t>Upper Bound</t>
  </si>
  <si>
    <t>Scott Pilgrim's Precious Little Life (Scott Pilgrim #1)</t>
  </si>
  <si>
    <t>https://books.toscrape.com/catalogue/scott-pilgrims-precious-little-life-scott-pilgrim-1_987/index.html</t>
  </si>
  <si>
    <t>Count of Outliers</t>
  </si>
  <si>
    <t>Rip it Up and Start Again</t>
  </si>
  <si>
    <t>https://books.toscrape.com/catalogue/rip-it-up-and-start-again_986/index.html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</si>
  <si>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</si>
  <si>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</si>
  <si>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Hypothesis testing</t>
  </si>
  <si>
    <t>Test H₀: proportion in stock ≤ 0.5 vs H₁: proportion in stock &gt; 0.5</t>
  </si>
  <si>
    <t>Olio</t>
  </si>
  <si>
    <t>https://books.toscrape.com/catalogue/olio_984/index.html</t>
  </si>
  <si>
    <t>Total</t>
  </si>
  <si>
    <t>Mesaerion: The Best Science Fiction Stories 1800-1849</t>
  </si>
  <si>
    <t>https://books.toscrape.com/catalogue/mesaerion-the-best-science-fiction-stories-1800-1849_983/index.html</t>
  </si>
  <si>
    <t>InStock</t>
  </si>
  <si>
    <t>Libertarianism for Beginners</t>
  </si>
  <si>
    <t>https://books.toscrape.com/catalogue/libertarianism-for-beginners_982/index.html</t>
  </si>
  <si>
    <t>OutStock</t>
  </si>
  <si>
    <t>It's Only the Himalayas</t>
  </si>
  <si>
    <t>https://books.toscrape.com/catalogue/its-only-the-himalayas_981/index.html</t>
  </si>
  <si>
    <t>ProportionInStock</t>
  </si>
  <si>
    <t>In Her Wake</t>
  </si>
  <si>
    <t>https://books.toscrape.com/catalogue/in-her-wake_980/index.html</t>
  </si>
  <si>
    <t>ProportionInStock &gt; 0.5 , conclude more books are in stock → accept H₁.</t>
  </si>
  <si>
    <t>How Music Works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</si>
  <si>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</si>
  <si>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</si>
  <si>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</si>
  <si>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</si>
  <si>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https://books.toscrape.com/catalogue/chase-me-paris-nights-2_977/index.html</t>
  </si>
  <si>
    <t>Black Dust</t>
  </si>
  <si>
    <t>https://books.toscrape.com/catalogue/black-dust_976/index.html</t>
  </si>
  <si>
    <t>Birdsong: A Story in Pictures</t>
  </si>
  <si>
    <t>https://books.toscrape.com/catalogue/birdsong-a-story-in-pictures_975/index.html</t>
  </si>
  <si>
    <t>America's Cradle of Quarterbacks: Western Pennsylvania's Football Factory from Johnny Unitas to Joe Montana</t>
  </si>
  <si>
    <t>https://books.toscrape.com/catalogue/americas-cradle-of-quarterbacks-western-pennsylvanias-football-factory-from-johnny-unitas-to-joe-montana_974/index.html</t>
  </si>
  <si>
    <t>Aladdin and His Wonderful Lamp</t>
  </si>
  <si>
    <t>https://books.toscrape.com/catalogue/aladdin-and-his-wonderful-lamp_973/index.html</t>
  </si>
  <si>
    <t>Worlds Elsewhere: Journeys Around ShakespeareÃ¢Â€Â™s Globe</t>
  </si>
  <si>
    <t>https://books.toscrape.com/catalogue/worlds-elsewhere-journeys-around-shakespeares-globe_972/index.html</t>
  </si>
  <si>
    <t>Rating Trend Analysis by using Column Chart</t>
  </si>
  <si>
    <t>Wall and Piece</t>
  </si>
  <si>
    <t>https://books.toscrape.com/catalogue/wall-and-piece_971/index.html</t>
  </si>
  <si>
    <t>Count</t>
  </si>
  <si>
    <t>The Four Agreements: A Practical Guide to Personal Freedom</t>
  </si>
  <si>
    <t>https://books.toscrape.com/catalogue/the-four-agreements-a-practical-guide-to-personal-freedom_970/index.html</t>
  </si>
  <si>
    <t>The Five Love Languages: How to Express Heartfelt Commitment to Your Mate</t>
  </si>
  <si>
    <t>https://books.toscrape.com/catalogue/the-five-love-languages-how-to-express-heartfelt-commitment-to-your-mate_969/index.html</t>
  </si>
  <si>
    <t>The Elephant Tree</t>
  </si>
  <si>
    <t>https://books.toscrape.com/catalogue/the-elephant-tree_968/index.html</t>
  </si>
  <si>
    <t>The Bear and the Piano</t>
  </si>
  <si>
    <t>https://books.toscrape.com/catalogue/the-bear-and-the-piano_967/index.html</t>
  </si>
  <si>
    <t>Sophie's World</t>
  </si>
  <si>
    <t>https://books.toscrape.com/catalogue/sophies-world_966/index.html</t>
  </si>
  <si>
    <t>Penny Maybe</t>
  </si>
  <si>
    <t>https://books.toscrape.com/catalogue/penny-maybe_965/index.html</t>
  </si>
  <si>
    <t>Maude (1883-1993):She Grew Up with the country</t>
  </si>
  <si>
    <t>https://books.toscrape.com/catalogue/maude-1883-1993she-grew-up-with-the-country_964/index.html</t>
  </si>
  <si>
    <t>In a Dark, Dark Wood</t>
  </si>
  <si>
    <t>https://books.toscrape.com/catalogue/in-a-dark-dark-wood_963/index.html</t>
  </si>
  <si>
    <t>Behind Closed Doors</t>
  </si>
  <si>
    <t>https://books.toscrape.com/catalogue/behind-closed-doors_962/index.html</t>
  </si>
  <si>
    <t>You can't bury them all: Poems</t>
  </si>
  <si>
    <t>https://books.toscrape.com/catalogue/you-cant-bury-them-all-poems_961/index.html</t>
  </si>
  <si>
    <t>Slow States of Collapse: Poems</t>
  </si>
  <si>
    <t>https://books.toscrape.com/catalogue/slow-states-of-collapse-poems_960/index.html</t>
  </si>
  <si>
    <t>Reasons to Stay Alive</t>
  </si>
  <si>
    <t>https://books.toscrape.com/catalogue/reasons-to-stay-alive_959/index.html</t>
  </si>
  <si>
    <t>Private Paris (Private #10)</t>
  </si>
  <si>
    <t>https://books.toscrape.com/catalogue/private-paris-private-10_958/index.html</t>
  </si>
  <si>
    <t>#HigherSelfie: Wake Up Your Life. Free Your Soul. Find Your Tribe.</t>
  </si>
  <si>
    <t>https://books.toscrape.com/catalogue/higherselfie-wake-up-your-life-free-your-soul-find-your-tribe_957/index.html</t>
  </si>
  <si>
    <t>Without Borders (Wanderlove #1)</t>
  </si>
  <si>
    <t>https://books.toscrape.com/catalogue/without-borders-wanderlove-1_956/index.html</t>
  </si>
  <si>
    <t>When We Collided</t>
  </si>
  <si>
    <t>https://books.toscrape.com/catalogue/when-we-collided_955/index.html</t>
  </si>
  <si>
    <t>We Love You, Charlie Freeman</t>
  </si>
  <si>
    <t>https://books.toscrape.com/catalogue/we-love-you-charlie-freeman_954/index.html</t>
  </si>
  <si>
    <t>Untitled Collection: Sabbath Poems 2014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</si>
  <si>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</si>
  <si>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</si>
  <si>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</si>
  <si>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</si>
  <si>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https://books.toscrape.com/catalogue/unicorn-tracks_951/index.html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</si>
  <si>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</si>
  <si>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</si>
  <si>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</si>
  <si>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https://books.toscrape.com/catalogue/tsubasa-world-chronicle-2-tsubasa-world-chronicle-2_949/index.html</t>
  </si>
  <si>
    <t>Availability Analysis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</si>
  <si>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</si>
  <si>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</si>
  <si>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This One Summer</t>
  </si>
  <si>
    <t>https://books.toscrape.com/catalogue/this-one-summer_947/index.html</t>
  </si>
  <si>
    <t>Thirst</t>
  </si>
  <si>
    <t>https://books.toscrape.com/catalogue/thirst_946/index.html</t>
  </si>
  <si>
    <t>The Torch Is Passed: A Harding Family Story</t>
  </si>
  <si>
    <t>https://books.toscrape.com/catalogue/the-torch-is-passed-a-harding-family-story_945/index.html</t>
  </si>
  <si>
    <t>The Secret of Dreadwillow Carse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</si>
  <si>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</si>
  <si>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</si>
  <si>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</si>
  <si>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The Past Never Ends</t>
  </si>
  <si>
    <t>https://books.toscrape.com/catalogue/the-past-never-ends_942/index.html</t>
  </si>
  <si>
    <t>The Natural History of Us (The Fine Art of Pretending #2)</t>
  </si>
  <si>
    <t>https://books.toscrape.com/catalogue/the-natural-history-of-us-the-fine-art-of-pretending-2_941/index.html</t>
  </si>
  <si>
    <t>The Nameless City (The Nameless City #1)</t>
  </si>
  <si>
    <t>https://books.toscrape.com/catalogue/the-nameless-city-the-nameless-city-1_940/index.html</t>
  </si>
  <si>
    <t>The Murder That Never Was (Forensic Instincts #5)</t>
  </si>
  <si>
    <t>https://books.toscrape.com/catalogue/the-murder-that-never-was-forensic-instincts-5_939/index.html</t>
  </si>
  <si>
    <t>The Most Perfect Thing: Inside (and Outside) a Bird's Egg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</si>
  <si>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</si>
  <si>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</si>
  <si>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</si>
  <si>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</si>
  <si>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</si>
  <si>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</si>
  <si>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https://books.toscrape.com/catalogue/the-inefficiency-assassin-time-management-tactics-for-working-smarter-not-longer_935/index.html</t>
  </si>
  <si>
    <t>The Gutsy Girl: Escapades for Your Life of Epic Adventure</t>
  </si>
  <si>
    <t>https://books.toscrape.com/catalogue/the-gutsy-girl-escapades-for-your-life-of-epic-adventure_934/index.html</t>
  </si>
  <si>
    <t>The Electric Pencil: Drawings from Inside State Hospital No. 3</t>
  </si>
  <si>
    <t>https://books.toscrape.com/catalogue/the-electric-pencil-drawings-from-inside-state-hospital-no-3_933/index.html</t>
  </si>
  <si>
    <t>The Death of Humanity: and the Case for Life</t>
  </si>
  <si>
    <t>https://books.toscrape.com/catalogue/the-death-of-humanity-and-the-case-for-life_932/index.html</t>
  </si>
  <si>
    <t>The Bulletproof Diet: Lose up to a Pound a Day, Reclaim Energy and Focus, Upgrade Your Life</t>
  </si>
  <si>
    <t>https://books.toscrape.com/catalogue/the-bulletproof-diet-lose-up-to-a-pound-a-day-reclaim-energy-and-focus-upgrade-your-life_931/index.html</t>
  </si>
  <si>
    <t>The Art Forger</t>
  </si>
  <si>
    <t>https://books.toscrape.com/catalogue/the-art-forger_930/index.html</t>
  </si>
  <si>
    <t>The Age of Genius: The Seventeenth Century and the Birth of the Modern Mind</t>
  </si>
  <si>
    <t>https://books.toscrape.com/catalogue/the-age-of-genius-the-seventeenth-century-and-the-birth-of-the-modern-mind_929/index.html</t>
  </si>
  <si>
    <t>The Activist's Tao Te Ching: Ancient Advice for a Modern Revolution</t>
  </si>
  <si>
    <t>https://books.toscrape.com/catalogue/the-activists-tao-te-ching-ancient-advice-for-a-modern-revolution_928/index.html</t>
  </si>
  <si>
    <t>Spark Joy: An Illustrated Master Class on the Art of Organizing and Tidying Up</t>
  </si>
  <si>
    <t>https://books.toscrape.com/catalogue/spark-joy-an-illustrated-master-class-on-the-art-of-organizing-and-tidying-up_927/index.html</t>
  </si>
  <si>
    <t>Soul Reader</t>
  </si>
  <si>
    <t>https://books.toscrape.com/catalogue/soul-reader_926/index.html</t>
  </si>
  <si>
    <t>Security</t>
  </si>
  <si>
    <t>https://books.toscrape.com/catalogue/security_925/index.html</t>
  </si>
  <si>
    <t>Saga, Volume 6 (Saga (Collected Editions) #6)</t>
  </si>
  <si>
    <t>https://books.toscrape.com/catalogue/saga-volume-6-saga-collected-editions-6_924/index.html</t>
  </si>
  <si>
    <t>Saga, Volume 5 (Saga (Collected Editions) #5)</t>
  </si>
  <si>
    <t>https://books.toscrape.com/catalogue/saga-volume-5-saga-collected-editions-5_923/index.html</t>
  </si>
  <si>
    <t>Reskilling America: Learning to Labor in the Twenty-First Century</t>
  </si>
  <si>
    <t>https://books.toscrape.com/catalogue/reskilling-america-learning-to-labor-in-the-twenty-first-century_922/index.html</t>
  </si>
  <si>
    <t>Rat Queens, Vol. 3: Demons (Rat Queens (Collected Editions) #11-15)</t>
  </si>
  <si>
    <t>https://books.toscrape.com/catalogue/rat-queens-vol-3-demons-rat-queens-collected-editions-11-15_921/index.html</t>
  </si>
  <si>
    <t>Princess Jellyfish 2-in-1 Omnibus, Vol. 01 (Princess Jellyfish 2-in-1 Omnibus #1)</t>
  </si>
  <si>
    <t>https://books.toscrape.com/catalogue/princess-jellyfish-2-in-1-omnibus-vol-01-princess-jellyfish-2-in-1-omnibus-1_920/index.html</t>
  </si>
  <si>
    <t>Princess Between Worlds (Wide-Awake Princess #5)</t>
  </si>
  <si>
    <t>https://books.toscrape.com/catalogue/princess-between-worlds-wide-awake-princess-5_919/index.html</t>
  </si>
  <si>
    <t>Pop Gun War, Volume 1: Gift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</si>
  <si>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</si>
  <si>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</si>
  <si>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</si>
  <si>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</si>
  <si>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https://books.toscrape.com/catalogue/patience_916/index.html</t>
  </si>
  <si>
    <t>Outcast, Vol. 1: A Darkness Surrounds Him (Outcast #1)</t>
  </si>
  <si>
    <t>https://books.toscrape.com/catalogue/outcast-vol-1-a-darkness-surrounds-him-outcast-1_915/index.html</t>
  </si>
  <si>
    <t>orange: The Complete Collection 1 (orange: The Complete Collection #1)</t>
  </si>
  <si>
    <t>https://books.toscrape.com/catalogue/orange-the-complete-collection-1-orange-the-complete-collection-1_914/index.html</t>
  </si>
  <si>
    <t>Online Marketing for Busy Authors: A Step-By-Step Guide</t>
  </si>
  <si>
    <t>https://books.toscrape.com/catalogue/online-marketing-for-busy-authors-a-step-by-step-guide_913/index.html</t>
  </si>
  <si>
    <t>On a Midnight Clear</t>
  </si>
  <si>
    <t>https://books.toscrape.com/catalogue/on-a-midnight-clear_912/index.html</t>
  </si>
  <si>
    <t>Obsidian (Lux #1)</t>
  </si>
  <si>
    <t>https://books.toscrape.com/catalogue/obsidian-lux-1_911/index.html</t>
  </si>
  <si>
    <t>My Paris Kitchen: Recipes and Stories</t>
  </si>
  <si>
    <t>https://books.toscrape.com/catalogue/my-paris-kitchen-recipes-and-stories_910/index.html</t>
  </si>
  <si>
    <t>Masks and Shadows</t>
  </si>
  <si>
    <t>https://books.toscrape.com/catalogue/masks-and-shadows_909/index.html</t>
  </si>
  <si>
    <t>Mama Tried: Traditional Italian Cooking for the Screwed, Crude, Vegan, and Tattooed</t>
  </si>
  <si>
    <t>https://books.toscrape.com/catalogue/mama-tried-traditional-italian-cooking-for-the-screwed-crude-vegan-and-tattooed_908/index.html</t>
  </si>
  <si>
    <t>Lumberjanes, Vol. 2: Friendship to the Max (Lumberjanes #5-8)</t>
  </si>
  <si>
    <t>https://books.toscrape.com/catalogue/lumberjanes-vol-2-friendship-to-the-max-lumberjanes-5-8_907/index.html</t>
  </si>
  <si>
    <t>Lumberjanes, Vol. 1: Beware the Kitten Holy (Lumberjanes #1-4)</t>
  </si>
  <si>
    <t>https://books.toscrape.com/catalogue/lumberjanes-vol-1-beware-the-kitten-holy-lumberjanes-1-4_906/index.html</t>
  </si>
  <si>
    <t>Lumberjanes Vol. 3: A Terrible Plan (Lumberjanes #9-12)</t>
  </si>
  <si>
    <t>https://books.toscrape.com/catalogue/lumberjanes-vol-3-a-terrible-plan-lumberjanes-9-12_905/index.html</t>
  </si>
  <si>
    <t>Layered: Baking, Building, and Styling Spectacular Cakes</t>
  </si>
  <si>
    <t>https://books.toscrape.com/catalogue/layered-baking-building-and-styling-spectacular-cakes_904/index.html</t>
  </si>
  <si>
    <t>Judo: Seven Steps to Black Belt (an Introductory Guide for Beginners)</t>
  </si>
  <si>
    <t>https://books.toscrape.com/catalogue/judo-seven-steps-to-black-belt-an-introductory-guide-for-beginners_903/index.html</t>
  </si>
  <si>
    <t>Join</t>
  </si>
  <si>
    <t>https://books.toscrape.com/catalogue/join_902/index.html</t>
  </si>
  <si>
    <t>In the Country We Love: My Family Divided</t>
  </si>
  <si>
    <t>https://books.toscrape.com/catalogue/in-the-country-we-love-my-family-divided_901/index.html</t>
  </si>
  <si>
    <t>Immunity: How Elie Metchnikoff Changed the Course of Modern Medicine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</si>
  <si>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</si>
  <si>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</si>
  <si>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https://books.toscrape.com/catalogue/i-hate-fairyland-vol-1-madly-ever-after-i-hate-fairyland-compilations-1-5_899/index.html</t>
  </si>
  <si>
    <t>I am a Hero Omnibus Volume 1</t>
  </si>
  <si>
    <t>https://books.toscrape.com/catalogue/i-am-a-hero-omnibus-volume-1_898/index.html</t>
  </si>
  <si>
    <t>How to Be Miserable: 40 Strategies You Already Use</t>
  </si>
  <si>
    <t>https://books.toscrape.com/catalogue/how-to-be-miserable-40-strategies-you-already-use_897/index.html</t>
  </si>
  <si>
    <t>Her Backup Boyfriend (The Sorensen Family #1)</t>
  </si>
  <si>
    <t>https://books.toscrape.com/catalogue/her-backup-boyfriend-the-sorensen-family-1_896/index.html</t>
  </si>
  <si>
    <t>Giant Days, Vol. 2 (Giant Days #5-8)</t>
  </si>
  <si>
    <t>https://books.toscrape.com/catalogue/giant-days-vol-2-giant-days-5-8_895/index.html</t>
  </si>
  <si>
    <t>Forever and Forever: The Courtship of Henry Longfellow and Fanny Appleton</t>
  </si>
  <si>
    <t>https://books.toscrape.com/catalogue/forever-and-forever-the-courtship-of-henry-longfellow-and-fanny-appleton_894/index.html</t>
  </si>
  <si>
    <t>First and First (Five Boroughs #3)</t>
  </si>
  <si>
    <t>https://books.toscrape.com/catalogue/first-and-first-five-boroughs-3_893/index.html</t>
  </si>
  <si>
    <t>Fifty Shades Darker (Fifty Shades #2)</t>
  </si>
  <si>
    <t>https://books.toscrape.com/catalogue/fifty-shades-darker-fifty-shades-2_892/index.html</t>
  </si>
  <si>
    <t>Everydata: The Misinformation Hidden in the Little Data You Consume Every Day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</si>
  <si>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</si>
  <si>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</si>
  <si>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https://books.toscrape.com/catalogue/dont-be-a-jerk-and-other-practical-advice-from-dogen-japans-greatest-zen-master_890/index.html</t>
  </si>
  <si>
    <t>Danganronpa Volume 1</t>
  </si>
  <si>
    <t>https://books.toscrape.com/catalogue/danganronpa-volume-1_889/index.html</t>
  </si>
  <si>
    <t>Crown of Midnight (Throne of Glass #2)</t>
  </si>
  <si>
    <t>https://books.toscrape.com/catalogue/crown-of-midnight-throne-of-glass-2_888/index.html</t>
  </si>
  <si>
    <t>Codename Baboushka, Volume 1: The Conclave of Death</t>
  </si>
  <si>
    <t>https://books.toscrape.com/catalogue/codename-baboushka-volume-1-the-conclave-of-death_887/index.html</t>
  </si>
  <si>
    <t>Camp Midnight</t>
  </si>
  <si>
    <t>https://books.toscrape.com/catalogue/camp-midnight_886/index.html</t>
  </si>
  <si>
    <t>Call the Nurse: True Stories of a Country Nurse on a Scottish Isle</t>
  </si>
  <si>
    <t>https://books.toscrape.com/catalogue/call-the-nurse-true-stories-of-a-country-nurse-on-a-scottish-isle_885/index.html</t>
  </si>
  <si>
    <t>Burning</t>
  </si>
  <si>
    <t>https://books.toscrape.com/catalogue/burning_884/index.html</t>
  </si>
  <si>
    <t>Bossypants</t>
  </si>
  <si>
    <t>https://books.toscrape.com/catalogue/bossypants_883/index.html</t>
  </si>
  <si>
    <t>Bitch Planet, Vol. 1: Extraordinary Machine (Bitch Planet (Collected Editions))</t>
  </si>
  <si>
    <t>https://books.toscrape.com/catalogue/bitch-planet-vol-1-extraordinary-machine-bitch-planet-collected-editions_882/index.html</t>
  </si>
  <si>
    <t>Avatar: The Last Airbender: Smoke and Shadow, Part 3 (Smoke and Shadow #3)</t>
  </si>
  <si>
    <t>https://books.toscrape.com/catalogue/avatar-the-last-airbender-smoke-and-shadow-part-3-smoke-and-shadow-3_881/index.html</t>
  </si>
  <si>
    <t>Algorithms to Live By: The Computer Science of Human Decisions</t>
  </si>
  <si>
    <t>https://books.toscrape.com/catalogue/algorithms-to-live-by-the-computer-science-of-human-decisions_880/index.html</t>
  </si>
  <si>
    <t>A World of Flavor: Your Gluten Free Passport</t>
  </si>
  <si>
    <t>https://books.toscrape.com/catalogue/a-world-of-flavor-your-gluten-free-passport_879/index.html</t>
  </si>
  <si>
    <t>A Piece of Sky, a Grain of Rice: A Memoir in Four Meditations</t>
  </si>
  <si>
    <t>https://books.toscrape.com/catalogue/a-piece-of-sky-a-grain-of-rice-a-memoir-in-four-meditations_878/index.html</t>
  </si>
  <si>
    <t>A Murder in Time</t>
  </si>
  <si>
    <t>https://books.toscrape.com/catalogue/a-murder-in-time_877/index.html</t>
  </si>
  <si>
    <t>A Flight of Arrows (The Pathfinders #2)</t>
  </si>
  <si>
    <t>https://books.toscrape.com/catalogue/a-flight-of-arrows-the-pathfinders-2_876/index.html</t>
  </si>
  <si>
    <t>A Fierce and Subtle Poison</t>
  </si>
  <si>
    <t>https://books.toscrape.com/catalogue/a-fierce-and-subtle-poison_875/index.html</t>
  </si>
  <si>
    <t>A Court of Thorns and Roses (A Court of Thorns and Roses #1)</t>
  </si>
  <si>
    <t>https://books.toscrape.com/catalogue/a-court-of-thorns-and-roses-a-court-of-thorns-and-roses-1_874/index.html</t>
  </si>
  <si>
    <t>(Un)Qualified: How God Uses Broken People to Do Big Things</t>
  </si>
  <si>
    <t>https://books.toscrape.com/catalogue/unqualified-how-god-uses-broken-people-to-do-big-things_873/index.html</t>
  </si>
  <si>
    <t>You Are What You Love: The Spiritual Power of Habit</t>
  </si>
  <si>
    <t>https://books.toscrape.com/catalogue/you-are-what-you-love-the-spiritual-power-of-habit_872/index.html</t>
  </si>
  <si>
    <t>William Shakespeare's Star Wars: Verily, A New Hope (William Shakespeare's Star Wars #4)</t>
  </si>
  <si>
    <t>https://books.toscrape.com/catalogue/william-shakespeares-star-wars-verily-a-new-hope-william-shakespeares-star-wars-4_871/index.html</t>
  </si>
  <si>
    <t>Tuesday Nights in 1980</t>
  </si>
  <si>
    <t>https://books.toscrape.com/catalogue/tuesday-nights-in-1980_870/index.html</t>
  </si>
  <si>
    <t>Tracing Numbers on a Train</t>
  </si>
  <si>
    <t>https://books.toscrape.com/catalogue/tracing-numbers-on-a-train_869/index.html</t>
  </si>
  <si>
    <t>Throne of Glass (Throne of Glass #1)</t>
  </si>
  <si>
    <t>https://books.toscrape.com/catalogue/throne-of-glass-throne-of-glass-1_868/index.html</t>
  </si>
  <si>
    <t>Thomas Jefferson and the Tripoli Pirates: The Forgotten War That Changed American History</t>
  </si>
  <si>
    <t>https://books.toscrape.com/catalogue/thomas-jefferson-and-the-tripoli-pirates-the-forgotten-war-that-changed-american-history_867/index.html</t>
  </si>
  <si>
    <t>Thirteen Reasons Why</t>
  </si>
  <si>
    <t>https://books.toscrape.com/catalogue/thirteen-reasons-why_866/index.html</t>
  </si>
  <si>
    <t>The White Cat and the Monk: A Retelling of the Poem Ã¢Â€ÂœPangur BÃƒÂ¡nÃ¢Â€Â</t>
  </si>
  <si>
    <t>https://books.toscrape.com/catalogue/the-white-cat-and-the-monk-a-retelling-of-the-poem-pangur-ban_865/index.html</t>
  </si>
  <si>
    <t>The Wedding Dress</t>
  </si>
  <si>
    <t>https://books.toscrape.com/catalogue/the-wedding-dress_864/index.html</t>
  </si>
  <si>
    <t>The Vacationers</t>
  </si>
  <si>
    <t>https://books.toscrape.com/catalogue/the-vacationers_863/index.html</t>
  </si>
  <si>
    <t>The Third Wave: An EntrepreneurÃ¢Â€Â™s Vision of the Future</t>
  </si>
  <si>
    <t>https://books.toscrape.com/catalogue/the-third-wave-an-entrepreneurs-vision-of-the-future_862/index.html</t>
  </si>
  <si>
    <t>The Stranger</t>
  </si>
  <si>
    <t>https://books.toscrape.com/catalogue/the-stranger_861/index.html</t>
  </si>
  <si>
    <t>The Shadow Hero (The Shadow Hero)</t>
  </si>
  <si>
    <t>https://books.toscrape.com/catalogue/the-shadow-hero-the-shadow-hero_860/index.html</t>
  </si>
  <si>
    <t>The Secret (The Secret #1)</t>
  </si>
  <si>
    <t>https://books.toscrape.com/catalogue/the-secret-the-secret-1_859/index.html</t>
  </si>
  <si>
    <t>The Regional Office Is Under Attack!</t>
  </si>
  <si>
    <t>https://books.toscrape.com/catalogue/the-regional-office-is-under-attack_858/index.html</t>
  </si>
  <si>
    <t>The Psychopath Test: A Journey Through the Madness Industry</t>
  </si>
  <si>
    <t>https://books.toscrape.com/catalogue/the-psychopath-test-a-journey-through-the-madness-industry_857/index.html</t>
  </si>
  <si>
    <t>The Project</t>
  </si>
  <si>
    <t>https://books.toscrape.com/catalogue/the-project_856/index.html</t>
  </si>
  <si>
    <t>The Power of Now: A Guide to Spiritual Enlightenment</t>
  </si>
  <si>
    <t>https://books.toscrape.com/catalogue/the-power-of-now-a-guide-to-spiritual-enlightenment_855/index.html</t>
  </si>
  <si>
    <t>The Omnivore's Dilemma: A Natural History of Four Meals</t>
  </si>
  <si>
    <t>https://books.toscrape.com/catalogue/the-omnivores-dilemma-a-natural-history-of-four-meals_854/index.html</t>
  </si>
  <si>
    <t>The Nerdy Nummies Cookbook: Sweet Treats for the Geek in All of Us</t>
  </si>
  <si>
    <t>https://books.toscrape.com/catalogue/the-nerdy-nummies-cookbook-sweet-treats-for-the-geek-in-all-of-us_853/index.html</t>
  </si>
  <si>
    <t>The Murder of Roger Ackroyd (Hercule Poirot #4)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</si>
  <si>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</si>
  <si>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</si>
  <si>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</si>
  <si>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Inc. #1)</t>
  </si>
  <si>
    <t>https://books.toscrape.com/catalogue/the-matchmakers-playbook-wingmen-inc-1_850/index.html</t>
  </si>
  <si>
    <t>The Love and Lemons Cookbook: An Apple-to-Zucchini Celebration of Impromptu Cooking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</si>
  <si>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</si>
  <si>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</si>
  <si>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https://books.toscrape.com/catalogue/the-long-shadow-of-small-ghosts-murder-and-memory-in-an-american-city_848/index.html</t>
  </si>
  <si>
    <t>The Kite Runner</t>
  </si>
  <si>
    <t>https://books.toscrape.com/catalogue/the-kite-runner_847/index.html</t>
  </si>
  <si>
    <t>The House by the Lake</t>
  </si>
  <si>
    <t>https://books.toscrape.com/catalogue/the-house-by-the-lake_846/index.html</t>
  </si>
  <si>
    <t>The Glittering Court (The Glittering Court #1)</t>
  </si>
  <si>
    <t>https://books.toscrape.com/catalogue/the-glittering-court-the-glittering-court-1_845/index.html</t>
  </si>
  <si>
    <t>The Girl on the Train</t>
  </si>
  <si>
    <t>https://books.toscrape.com/catalogue/the-girl-on-the-train_844/index.html</t>
  </si>
  <si>
    <t>The Genius of Birds</t>
  </si>
  <si>
    <t>https://books.toscrape.com/catalogue/the-genius-of-birds_843/index.html</t>
  </si>
  <si>
    <t>The Emerald Mystery</t>
  </si>
  <si>
    <t>https://books.toscrape.com/catalogue/the-emerald-mystery_842/index.html</t>
  </si>
  <si>
    <t>The Cookies &amp; Cups Cookbook: 125+ sweet &amp; savory recipes reminding you to Always Eat Dessert First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</si>
  <si>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</si>
  <si>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</si>
  <si>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</si>
  <si>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</si>
  <si>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</si>
  <si>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</si>
  <si>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</si>
  <si>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</si>
  <si>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https://books.toscrape.com/catalogue/the-argonauts_837/index.html</t>
  </si>
  <si>
    <t>The 10% Entrepreneur: Live Your Startup Dream Without Quitting Your Day Job</t>
  </si>
  <si>
    <t>https://books.toscrape.com/catalogue/the-10-entrepreneur-live-your-startup-dream-without-quitting-your-day-job_836/index.html</t>
  </si>
  <si>
    <t>Suddenly in Love (Lake Haven #1)</t>
  </si>
  <si>
    <t>https://books.toscrape.com/catalogue/suddenly-in-love-lake-haven-1_835/index.html</t>
  </si>
  <si>
    <t>Something More Than This</t>
  </si>
  <si>
    <t>https://books.toscrape.com/catalogue/something-more-than-this_834/index.html</t>
  </si>
  <si>
    <t>Soft Apocalypse</t>
  </si>
  <si>
    <t>https://books.toscrape.com/catalogue/soft-apocalypse_833/index.html</t>
  </si>
  <si>
    <t>So You've Been Publicly Shamed</t>
  </si>
  <si>
    <t>https://books.toscrape.com/catalogue/so-youve-been-publicly-shamed_832/index.html</t>
  </si>
  <si>
    <t>Shoe Dog: A Memoir by the Creator of NIKE</t>
  </si>
  <si>
    <t>https://books.toscrape.com/catalogue/shoe-dog-a-memoir-by-the-creator-of-nike_831/index.html</t>
  </si>
  <si>
    <t>Shobu Samurai, Project Aryoku (#3)</t>
  </si>
  <si>
    <t>https://books.toscrape.com/catalogue/shobu-samurai-project-aryoku-3_830/index.html</t>
  </si>
  <si>
    <t>Secrets and Lace (Fatal Hearts #1)</t>
  </si>
  <si>
    <t>https://books.toscrape.com/catalogue/secrets-and-lace-fatal-hearts-1_829/index.html</t>
  </si>
  <si>
    <t>Scarlett Epstein Hates It Here</t>
  </si>
  <si>
    <t>https://books.toscrape.com/catalogue/scarlett-epstein-hates-it-here_828/index.html</t>
  </si>
  <si>
    <t>Romero and Juliet: A Tragic Tale of Love and Zombies</t>
  </si>
  <si>
    <t>https://books.toscrape.com/catalogue/romero-and-juliet-a-tragic-tale-of-love-and-zombies_827/index.html</t>
  </si>
  <si>
    <t>Redeeming Love</t>
  </si>
  <si>
    <t>https://books.toscrape.com/catalogue/redeeming-love_826/index.html</t>
  </si>
  <si>
    <t>Poses for Artists Volume 1 - Dynamic and Sitting Poses: An Essential Reference for Figure Drawing and the Human Form</t>
  </si>
  <si>
    <t>https://books.toscrape.com/catalogue/poses-for-artists-volume-1-dynamic-and-sitting-poses-an-essential-reference-for-figure-drawing-and-the-human-form_825/index.html</t>
  </si>
  <si>
    <t>Poems That Make Grown Women Cry</t>
  </si>
  <si>
    <t>https://books.toscrape.com/catalogue/poems-that-make-grown-women-cry_824/index.html</t>
  </si>
  <si>
    <t>Nightingale, Sing</t>
  </si>
  <si>
    <t>https://books.toscrape.com/catalogue/nightingale-sing_823/index.html</t>
  </si>
  <si>
    <t>Night Sky with Exit Wounds</t>
  </si>
  <si>
    <t>https://books.toscrape.com/catalogue/night-sky-with-exit-wounds_822/index.html</t>
  </si>
  <si>
    <t>Mrs. Houdini</t>
  </si>
  <si>
    <t>https://books.toscrape.com/catalogue/mrs-houdini_821/index.html</t>
  </si>
  <si>
    <t>Modern Romance</t>
  </si>
  <si>
    <t>https://books.toscrape.com/catalogue/modern-romance_820/index.html</t>
  </si>
  <si>
    <t>Miss PeregrineÃ¢Â€Â™s Home for Peculiar Children (Miss PeregrineÃ¢Â€Â™s Peculiar Children #1)</t>
  </si>
  <si>
    <t>https://books.toscrape.com/catalogue/miss-peregrines-home-for-peculiar-children-miss-peregrines-peculiar-children-1_819/index.html</t>
  </si>
  <si>
    <t>Louisa: The Extraordinary Life of Mrs. Adams</t>
  </si>
  <si>
    <t>https://books.toscrape.com/catalogue/louisa-the-extraordinary-life-of-mrs-adams_818/index.html</t>
  </si>
  <si>
    <t>Little Red</t>
  </si>
  <si>
    <t>https://books.toscrape.com/catalogue/little-red_817/index.html</t>
  </si>
  <si>
    <t>Library of Souls (Miss PeregrineÃ¢Â€Â™s Peculiar Children #3)</t>
  </si>
  <si>
    <t>https://books.toscrape.com/catalogue/library-of-souls-miss-peregrines-peculiar-children-3_816/index.html</t>
  </si>
  <si>
    <t>Large Print Heart of the Pride</t>
  </si>
  <si>
    <t>https://books.toscrape.com/catalogue/large-print-heart-of-the-pride_815/index.html</t>
  </si>
  <si>
    <t>I Had a Nice Time And Other Lies...: How to find love &amp; sh*t like that</t>
  </si>
  <si>
    <t>https://books.toscrape.com/catalogue/i-had-a-nice-time-and-other-lies-how-to-find-love-sht-like-that_814/index.html</t>
  </si>
  <si>
    <t>Hollow City (Miss PeregrineÃ¢Â€Â™s Peculiar Children #2)</t>
  </si>
  <si>
    <t>https://books.toscrape.com/catalogue/hollow-city-miss-peregrines-peculiar-children-2_813/index.html</t>
  </si>
  <si>
    <t>Grumbles</t>
  </si>
  <si>
    <t>https://books.toscrape.com/catalogue/grumbles_812/index.html</t>
  </si>
  <si>
    <t>Full Moon over NoahÃ¢Â€Â™s Ark: An Odyssey to Mount Ararat and Beyond</t>
  </si>
  <si>
    <t>https://books.toscrape.com/catalogue/full-moon-over-noahs-ark-an-odyssey-to-mount-ararat-and-beyond_811/index.html</t>
  </si>
  <si>
    <t>Frostbite (Vampire Academy #2)</t>
  </si>
  <si>
    <t>https://books.toscrape.com/catalogue/frostbite-vampire-academy-2_810/index.html</t>
  </si>
  <si>
    <t>Follow You Home</t>
  </si>
  <si>
    <t>https://books.toscrape.com/catalogue/follow-you-home_809/index.html</t>
  </si>
  <si>
    <t>First Steps for New Christians (Print Edition)</t>
  </si>
  <si>
    <t>https://books.toscrape.com/catalogue/first-steps-for-new-christians-print-edition_808/index.html</t>
  </si>
  <si>
    <t>Finders Keepers (Bill Hodges Trilogy #2)</t>
  </si>
  <si>
    <t>https://books.toscrape.com/catalogue/finders-keepers-bill-hodges-trilogy-2_807/index.html</t>
  </si>
  <si>
    <t>Fables, Vol. 1: Legends in Exile (Fables #1)</t>
  </si>
  <si>
    <t>https://books.toscrape.com/catalogue/fables-vol-1-legends-in-exile-fables-1_806/index.html</t>
  </si>
  <si>
    <t>Eureka Trivia 6.0</t>
  </si>
  <si>
    <t>https://books.toscrape.com/catalogue/eureka-trivia-60_805/index.html</t>
  </si>
  <si>
    <t>Drive: The Surprising Truth About What Motivates Us</t>
  </si>
  <si>
    <t>https://books.toscrape.com/catalogue/drive-the-surprising-truth-about-what-motivates-us_804/index.html</t>
  </si>
  <si>
    <t>Done Rubbed Out (Reightman &amp; Bailey #1)</t>
  </si>
  <si>
    <t>https://books.toscrape.com/catalogue/done-rubbed-out-reightman-bailey-1_803/index.html</t>
  </si>
  <si>
    <t>Doing It Over (Most Likely To #1)</t>
  </si>
  <si>
    <t>https://books.toscrape.com/catalogue/doing-it-over-most-likely-to-1_802/index.html</t>
  </si>
  <si>
    <t>Deliciously Ella Every Day: Quick and Easy Recipes for Gluten-Free Snacks, Packed Lunches, and Simple Meals</t>
  </si>
  <si>
    <t>https://books.toscrape.com/catalogue/deliciously-ella-every-day-quick-and-easy-recipes-for-gluten-free-snacks-packed-lunches-and-simple-meals_801/index.html</t>
  </si>
  <si>
    <t>Dark Notes</t>
  </si>
  <si>
    <t>https://books.toscrape.com/catalogue/dark-notes_800/index.html</t>
  </si>
  <si>
    <t>Daring Greatly: How the Courage to Be Vulnerable Transforms the Way We Live, Love, Parent, and Lead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</si>
  <si>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</si>
  <si>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</si>
  <si>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</si>
  <si>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Taught Me About Living</t>
  </si>
  <si>
    <t>https://books.toscrape.com/catalogue/chasing-heaven-what-dying-taught-me-about-living_797/index.html</t>
  </si>
  <si>
    <t>Big Magic: Creative Living Beyond Fear</t>
  </si>
  <si>
    <t>https://books.toscrape.com/catalogue/big-magic-creative-living-beyond-fear_796/index.html</t>
  </si>
  <si>
    <t>Becoming Wise: An Inquiry into the Mystery and Art of Living</t>
  </si>
  <si>
    <t>https://books.toscrape.com/catalogue/becoming-wise-an-inquiry-into-the-mystery-and-art-of-living_795/index.html</t>
  </si>
  <si>
    <t>Beauty Restored (Riley Family Legacy Novellas #3)</t>
  </si>
  <si>
    <t>https://books.toscrape.com/catalogue/beauty-restored-riley-family-legacy-novellas-3_794/index.html</t>
  </si>
  <si>
    <t>Batman: The Long Halloween (Batman)</t>
  </si>
  <si>
    <t>https://books.toscrape.com/catalogue/batman-the-long-halloween-batman_793/index.html</t>
  </si>
  <si>
    <t>Batman: The Dark Knight Returns (Batman)</t>
  </si>
  <si>
    <t>https://books.toscrape.com/catalogue/batman-the-dark-knight-returns-batman_792/index.html</t>
  </si>
  <si>
    <t>Ayumi's Violin</t>
  </si>
  <si>
    <t>https://books.toscrape.com/catalogue/ayumis-violin_791/index.html</t>
  </si>
  <si>
    <t>Anonymous</t>
  </si>
  <si>
    <t>https://books.toscrape.com/catalogue/anonymous_790/index.html</t>
  </si>
  <si>
    <t>Amy Meets the Saints and Sages</t>
  </si>
  <si>
    <t>https://books.toscrape.com/catalogue/amy-meets-the-saints-and-sages_789/index.html</t>
  </si>
  <si>
    <t>Amid the Chaos</t>
  </si>
  <si>
    <t>https://books.toscrape.com/catalogue/amid-the-chaos_788/index.html</t>
  </si>
  <si>
    <t>Amatus</t>
  </si>
  <si>
    <t>https://books.toscrape.com/catalogue/amatus_787/index.html</t>
  </si>
  <si>
    <t>Agnostic: A Spirited Manifesto</t>
  </si>
  <si>
    <t>https://books.toscrape.com/catalogue/agnostic-a-spirited-manifesto_786/index.html</t>
  </si>
  <si>
    <t>Zealot: The Life and Times of Jesus of Nazareth</t>
  </si>
  <si>
    <t>https://books.toscrape.com/catalogue/zealot-the-life-and-times-of-jesus-of-nazareth_785/index.html</t>
  </si>
  <si>
    <t>You (You #1)</t>
  </si>
  <si>
    <t>https://books.toscrape.com/catalogue/you-you-1_784/index.html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</si>
  <si>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</si>
  <si>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</si>
  <si>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</si>
  <si>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https://books.toscrape.com/catalogue/wild-swans_782/index.html</t>
  </si>
  <si>
    <t>Why the Right Went Wrong: Conservatism--From Goldwater to the Tea Party and Beyond</t>
  </si>
  <si>
    <t>https://books.toscrape.com/catalogue/why-the-right-went-wrong-conservatism-from-goldwater-to-the-tea-party-and-beyond_781/index.html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</si>
  <si>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</si>
  <si>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https://books.toscrape.com/catalogue/whole-lotta-creativity-going-on-60-fun-and-unusual-exercises-to-awaken-and-strengthen-your-creativity_780/index.html</t>
  </si>
  <si>
    <t>What's It Like in Space?: Stories from Astronauts Who've Been There</t>
  </si>
  <si>
    <t>https://books.toscrape.com/catalogue/whats-it-like-in-space-stories-from-astronauts-whove-been-there_779/index.html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</si>
  <si>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</si>
  <si>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</si>
  <si>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</si>
  <si>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https://books.toscrape.com/catalogue/walt-disneys-alice-in-wonderland_777/index.html</t>
  </si>
  <si>
    <t>V for Vendetta (V for Vendetta Complete)</t>
  </si>
  <si>
    <t>https://books.toscrape.com/catalogue/v-for-vendetta-v-for-vendetta-complete_776/index.html</t>
  </si>
  <si>
    <t>Until Friday Night (The Field Party #1)</t>
  </si>
  <si>
    <t>https://books.toscrape.com/catalogue/until-friday-night-the-field-party-1_775/index.html</t>
  </si>
  <si>
    <t>Unbroken: A World War II Story of Survival, Resilience, and Redemption</t>
  </si>
  <si>
    <t>https://books.toscrape.com/catalogue/unbroken-a-world-war-ii-story-of-survival-resilience-and-redemption_774/index.html</t>
  </si>
  <si>
    <t>Twenty Yawns</t>
  </si>
  <si>
    <t>https://books.toscrape.com/catalogue/twenty-yawns_773/index.html</t>
  </si>
  <si>
    <t>Through the Woods</t>
  </si>
  <si>
    <t>https://books.toscrape.com/catalogue/through-the-woods_772/index.html</t>
  </si>
  <si>
    <t>This Is Where It Ends</t>
  </si>
  <si>
    <t>https://books.toscrape.com/catalogue/this-is-where-it-ends_771/index.html</t>
  </si>
  <si>
    <t>The Year of Magical Thinking</t>
  </si>
  <si>
    <t>https://books.toscrape.com/catalogue/the-year-of-magical-thinking_770/index.html</t>
  </si>
  <si>
    <t>The Wright Brothers</t>
  </si>
  <si>
    <t>https://books.toscrape.com/catalogue/the-wright-brothers_769/index.html</t>
  </si>
  <si>
    <t>The White Queen (The Cousins' War #1)</t>
  </si>
  <si>
    <t>https://books.toscrape.com/catalogue/the-white-queen-the-cousins-war-1_768/index.html</t>
  </si>
  <si>
    <t>The Wedding Pact (The O'Malleys #2)</t>
  </si>
  <si>
    <t>https://books.toscrape.com/catalogue/the-wedding-pact-the-omalleys-2_767/index.html</t>
  </si>
  <si>
    <t>The Time Keeper</t>
  </si>
  <si>
    <t>https://books.toscrape.com/catalogue/the-time-keeper_766/index.html</t>
  </si>
  <si>
    <t>The Testament of Mary</t>
  </si>
  <si>
    <t>https://books.toscrape.com/catalogue/the-testament-of-mary_765/index.html</t>
  </si>
  <si>
    <t>The Star-Touched Queen</t>
  </si>
  <si>
    <t>https://books.toscrape.com/catalogue/the-star-touched-queen_764/index.html</t>
  </si>
  <si>
    <t>The Songs of the Gods</t>
  </si>
  <si>
    <t>https://books.toscrape.com/catalogue/the-songs-of-the-gods_763/index.html</t>
  </si>
  <si>
    <t>The Song of Achilles</t>
  </si>
  <si>
    <t>https://books.toscrape.com/catalogue/the-song-of-achilles_762/index.html</t>
  </si>
  <si>
    <t>The Rosie Project (Don Tillman #1)</t>
  </si>
  <si>
    <t>https://books.toscrape.com/catalogue/the-rosie-project-don-tillman-1_761/index.html</t>
  </si>
  <si>
    <t>The Power of Habit: Why We Do What We Do in Life and Business</t>
  </si>
  <si>
    <t>https://books.toscrape.com/catalogue/the-power-of-habit-why-we-do-what-we-do-in-life-and-business_760/index.html</t>
  </si>
  <si>
    <t>The Marriage of Opposites</t>
  </si>
  <si>
    <t>https://books.toscrape.com/catalogue/the-marriage-of-opposites_759/index.html</t>
  </si>
  <si>
    <t>The Lucifer Effect: Understanding How Good People Turn Evil</t>
  </si>
  <si>
    <t>https://books.toscrape.com/catalogue/the-lucifer-effect-understanding-how-good-people-turn-evil_758/index.html</t>
  </si>
  <si>
    <t>The Long Haul (Diary of a Wimpy Kid #9)</t>
  </si>
  <si>
    <t>https://books.toscrape.com/catalogue/the-long-haul-diary-of-a-wimpy-kid-9_757/index.html</t>
  </si>
  <si>
    <t>The Loney</t>
  </si>
  <si>
    <t>https://books.toscrape.com/catalogue/the-loney_756/index.html</t>
  </si>
  <si>
    <t>The Literature Book (Big Ideas Simply Explained)</t>
  </si>
  <si>
    <t>https://books.toscrape.com/catalogue/the-literature-book-big-ideas-simply-explained_755/index.html</t>
  </si>
  <si>
    <t>The Last Mile (Amos Decker #2)</t>
  </si>
  <si>
    <t>https://books.toscrape.com/catalogue/the-last-mile-amos-decker-2_754/index.html</t>
  </si>
  <si>
    <t>The Immortal Life of Henrietta Lacks</t>
  </si>
  <si>
    <t>https://books.toscrape.com/catalogue/the-immortal-life-of-henrietta-lacks_753/index.html</t>
  </si>
  <si>
    <t>The Hidden Oracle (The Trials of Apollo #1)</t>
  </si>
  <si>
    <t>https://books.toscrape.com/catalogue/the-hidden-oracle-the-trials-of-apollo-1_752/index.html</t>
  </si>
  <si>
    <t>The Help Yourself Cookbook for Kids: 60 Easy Plant-Based Recipes Kids Can Make to Stay Healthy and Save the Earth</t>
  </si>
  <si>
    <t>https://books.toscrape.com/catalogue/the-help-yourself-cookbook-for-kids-60-easy-plant-based-recipes-kids-can-make-to-stay-healthy-and-save-the-earth_751/index.html</t>
  </si>
  <si>
    <t>The Guilty (Will Robie #4)</t>
  </si>
  <si>
    <t>https://books.toscrape.com/catalogue/the-guilty-will-robie-4_750/index.html</t>
  </si>
  <si>
    <t>The First Hostage (J.B. Collins #2)</t>
  </si>
  <si>
    <t>https://books.toscrape.com/catalogue/the-first-hostage-jb-collins-2_749/index.html</t>
  </si>
  <si>
    <t>The Dovekeepers</t>
  </si>
  <si>
    <t>https://books.toscrape.com/catalogue/the-dovekeepers_748/index.html</t>
  </si>
  <si>
    <t>The Darkest Lie</t>
  </si>
  <si>
    <t>https://books.toscrape.com/catalogue/the-darkest-lie_747/index.html</t>
  </si>
  <si>
    <t>The Bane Chronicles (The Bane Chronicles #1-11)</t>
  </si>
  <si>
    <t>https://books.toscrape.com/catalogue/the-bane-chronicles-the-bane-chronicles-1-11_746/index.html</t>
  </si>
  <si>
    <t>The Bad-Ass Librarians of Timbuktu: And Their Race to Save the WorldÃ¢Â€Â™s Most Precious Manuscripts</t>
  </si>
  <si>
    <t>https://books.toscrape.com/catalogue/the-bad-ass-librarians-of-timbuktu-and-their-race-to-save-the-worlds-most-precious-manuscripts_745/index.html</t>
  </si>
  <si>
    <t>The 14th Colony (Cotton Malone #11)</t>
  </si>
  <si>
    <t>https://books.toscrape.com/catalogue/the-14th-colony-cotton-malone-11_744/index.html</t>
  </si>
  <si>
    <t>That Darkness (Gardiner and Renner #1)</t>
  </si>
  <si>
    <t>https://books.toscrape.com/catalogue/that-darkness-gardiner-and-renner-1_743/index.html</t>
  </si>
  <si>
    <t>Tastes Like Fear (DI Marnie Rome #3)</t>
  </si>
  <si>
    <t>https://books.toscrape.com/catalogue/tastes-like-fear-di-marnie-rome-3_742/index.html</t>
  </si>
  <si>
    <t>Take Me with You</t>
  </si>
  <si>
    <t>https://books.toscrape.com/catalogue/take-me-with-you_741/index.html</t>
  </si>
  <si>
    <t>Swell: A Year of Waves</t>
  </si>
  <si>
    <t>https://books.toscrape.com/catalogue/swell-a-year-of-waves_740/index.html</t>
  </si>
  <si>
    <t>Superman Vol. 1: Before Truth (Superman by Gene Luen Yang #1)</t>
  </si>
  <si>
    <t>https://books.toscrape.com/catalogue/superman-vol-1-before-truth-superman-by-gene-luen-yang-1_739/index.html</t>
  </si>
  <si>
    <t>Still Life with Bread Crumbs</t>
  </si>
  <si>
    <t>https://books.toscrape.com/catalogue/still-life-with-bread-crumbs_738/index.html</t>
  </si>
  <si>
    <t>Steve Jobs</t>
  </si>
  <si>
    <t>https://books.toscrape.com/catalogue/steve-jobs_737/index.html</t>
  </si>
  <si>
    <t>Sorting the Beef from the Bull: The Science of Food Fraud Forensics</t>
  </si>
  <si>
    <t>https://books.toscrape.com/catalogue/sorting-the-beef-from-the-bull-the-science-of-food-fraud-forensics_736/index.html</t>
  </si>
  <si>
    <t>Someone Like You (The Harrisons #2)</t>
  </si>
  <si>
    <t>https://books.toscrape.com/catalogue/someone-like-you-the-harrisons-2_735/index.html</t>
  </si>
  <si>
    <t>So Cute It Hurts!!, Vol. 6 (So Cute It Hurts!! #6)</t>
  </si>
  <si>
    <t>https://books.toscrape.com/catalogue/so-cute-it-hurts-vol-6-so-cute-it-hurts-6_734/index.html</t>
  </si>
  <si>
    <t>Shtum</t>
  </si>
  <si>
    <t>https://books.toscrape.com/catalogue/shtum_733/index.html</t>
  </si>
  <si>
    <t>See America: A Celebration of Our National Parks &amp; Treasured Sites</t>
  </si>
  <si>
    <t>https://books.toscrape.com/catalogue/see-america-a-celebration-of-our-national-parks-treasured-sites_732/index.html</t>
  </si>
  <si>
    <t>salt.</t>
  </si>
  <si>
    <t>https://books.toscrape.com/catalogue/salt_731/index.html</t>
  </si>
  <si>
    <t>Robin War</t>
  </si>
  <si>
    <t>https://books.toscrape.com/catalogue/robin-war_730/index.html</t>
  </si>
  <si>
    <t>Red Hood/Arsenal, Vol. 1: Open for Business (Red Hood/Arsenal #1)</t>
  </si>
  <si>
    <t>https://books.toscrape.com/catalogue/red-hoodarsenal-vol-1-open-for-business-red-hoodarsenal-1_729/index.html</t>
  </si>
  <si>
    <t>Rain Fish</t>
  </si>
  <si>
    <t>https://books.toscrape.com/catalogue/rain-fish_728/index.html</t>
  </si>
  <si>
    <t>Quarter Life Poetry: Poems for the Young, Broke and Hangry</t>
  </si>
  <si>
    <t>https://books.toscrape.com/catalogue/quarter-life-poetry-poems-for-the-young-broke-and-hangry_727/index.html</t>
  </si>
  <si>
    <t>Pet Sematary</t>
  </si>
  <si>
    <t>https://books.toscrape.com/catalogue/pet-sematary_726/index.html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</si>
  <si>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</si>
  <si>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</si>
  <si>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</si>
  <si>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https://books.toscrape.com/catalogue/once-was-a-time_724/index.html</t>
  </si>
  <si>
    <t>Old School (Diary of a Wimpy Kid #10)</t>
  </si>
  <si>
    <t>https://books.toscrape.com/catalogue/old-school-diary-of-a-wimpy-kid-10_723/index.html</t>
  </si>
  <si>
    <t>No Dream Is Too High: Life Lessons From a Man Who Walked on the Moon</t>
  </si>
  <si>
    <t>https://books.toscrape.com/catalogue/no-dream-is-too-high-life-lessons-from-a-man-who-walked-on-the-moon_722/index.html</t>
  </si>
  <si>
    <t>Naruto (3-in-1 Edition), Vol. 14: Includes Vols. 40, 41 &amp; 42 (Naruto: Omnibus #14)</t>
  </si>
  <si>
    <t>https://books.toscrape.com/catalogue/naruto-3-in-1-edition-vol-14-includes-vols-40-41-42-naruto-omnibus-14_721/index.html</t>
  </si>
  <si>
    <t>My Name Is Lucy Barton</t>
  </si>
  <si>
    <t>https://books.toscrape.com/catalogue/my-name-is-lucy-barton_720/index.html</t>
  </si>
  <si>
    <t>My Mrs. Brown</t>
  </si>
  <si>
    <t>https://books.toscrape.com/catalogue/my-mrs-brown_719/index.html</t>
  </si>
  <si>
    <t>My Kind of Crazy</t>
  </si>
  <si>
    <t>https://books.toscrape.com/catalogue/my-kind-of-crazy_718/index.html</t>
  </si>
  <si>
    <t>Mr. Mercedes (Bill Hodges Trilogy #1)</t>
  </si>
  <si>
    <t>https://books.toscrape.com/catalogue/mr-mercedes-bill-hodges-trilogy-1_717/index.html</t>
  </si>
  <si>
    <t>More Than Music (Chasing the Dream #1)</t>
  </si>
  <si>
    <t>https://books.toscrape.com/catalogue/more-than-music-chasing-the-dream-1_716/index.html</t>
  </si>
  <si>
    <t>Made to Stick: Why Some Ideas Survive and Others Die</t>
  </si>
  <si>
    <t>https://books.toscrape.com/catalogue/made-to-stick-why-some-ideas-survive-and-others-die_715/index.html</t>
  </si>
  <si>
    <t>Luis Paints the World</t>
  </si>
  <si>
    <t>https://books.toscrape.com/catalogue/luis-paints-the-world_714/index.html</t>
  </si>
  <si>
    <t>Luckiest Girl Alive</t>
  </si>
  <si>
    <t>https://books.toscrape.com/catalogue/luckiest-girl-alive_713/index.html</t>
  </si>
  <si>
    <t>Lowriders to the Center of the Earth (Lowriders in Space #2)</t>
  </si>
  <si>
    <t>https://books.toscrape.com/catalogue/lowriders-to-the-center-of-the-earth-lowriders-in-space-2_712/index.html</t>
  </si>
  <si>
    <t>Love Is a Mix Tape (Music #1)</t>
  </si>
  <si>
    <t>https://books.toscrape.com/catalogue/love-is-a-mix-tape-music-1_711/index.html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</si>
  <si>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</si>
  <si>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</si>
  <si>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</si>
  <si>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</si>
  <si>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</si>
  <si>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https://books.toscrape.com/catalogue/let-it-out-a-journey-through-journaling_708/index.html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</si>
  <si>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</si>
  <si>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</si>
  <si>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</si>
  <si>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https://books.toscrape.com/catalogue/its-all-easy-healthy-delicious-weeknight-meals-in-under-30-minutes_706/index.html</t>
  </si>
  <si>
    <t>Island of Dragons (Unwanteds #7)</t>
  </si>
  <si>
    <t>https://books.toscrape.com/catalogue/island-of-dragons-unwanteds-7_705/index.html</t>
  </si>
  <si>
    <t>I Know What I'm Doing -- and Other Lies I Tell Myself: Dispatches from a Life Under Construction</t>
  </si>
  <si>
    <t>https://books.toscrape.com/catalogue/i-know-what-im-doing-and-other-lies-i-tell-myself-dispatches-from-a-life-under-construction_704/index.html</t>
  </si>
  <si>
    <t>I Am Pilgrim (Pilgrim #1)</t>
  </si>
  <si>
    <t>https://books.toscrape.com/catalogue/i-am-pilgrim-pilgrim-1_703/index.html</t>
  </si>
  <si>
    <t>Hyperbole and a Half: Unfortunate Situations, Flawed Coping Mechanisms, Mayhem, and Other Things That Happened</t>
  </si>
  <si>
    <t>https://books.toscrape.com/catalogue/hyperbole-and-a-half-unfortunate-situations-flawed-coping-mechanisms-mayhem-and-other-things-that-happened_702/index.html</t>
  </si>
  <si>
    <t>Hush, Hush (Hush, Hush #1)</t>
  </si>
  <si>
    <t>https://books.toscrape.com/catalogue/hush-hush-hush-hush-1_701/index.html</t>
  </si>
  <si>
    <t>Hold Your Breath (Search and Rescue #1)</t>
  </si>
  <si>
    <t>https://books.toscrape.com/catalogue/hold-your-breath-search-and-rescue-1_700/index.html</t>
  </si>
  <si>
    <t>Hamilton: The Revolution</t>
  </si>
  <si>
    <t>https://books.toscrape.com/catalogue/hamilton-the-revolution_699/index.html</t>
  </si>
  <si>
    <t>Greek Mythic History</t>
  </si>
  <si>
    <t>https://books.toscrape.com/catalogue/greek-mythic-history_698/index.html</t>
  </si>
  <si>
    <t>God: The Most Unpleasant Character in All Fiction</t>
  </si>
  <si>
    <t>https://books.toscrape.com/catalogue/god-the-most-unpleasant-character-in-all-fiction_697/index.html</t>
  </si>
  <si>
    <t>Glory over Everything: Beyond The Kitchen House</t>
  </si>
  <si>
    <t>https://books.toscrape.com/catalogue/glory-over-everything-beyond-the-kitchen-house_696/index.html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</si>
  <si>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</si>
  <si>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</si>
  <si>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</si>
  <si>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https://books.toscrape.com/catalogue/far-away-places-on-the-brink-of-change-seven-continents-twenty-five-years_694/index.html</t>
  </si>
  <si>
    <t>Every Last Word</t>
  </si>
  <si>
    <t>https://books.toscrape.com/catalogue/every-last-word_693/index.html</t>
  </si>
  <si>
    <t>Eligible (The Austen Project #4)</t>
  </si>
  <si>
    <t>https://books.toscrape.com/catalogue/eligible-the-austen-project-4_692/index.html</t>
  </si>
  <si>
    <t>El Deafo</t>
  </si>
  <si>
    <t>https://books.toscrape.com/catalogue/el-deafo_691/index.html</t>
  </si>
  <si>
    <t>Eight Hundred Grapes</t>
  </si>
  <si>
    <t>https://books.toscrape.com/catalogue/eight-hundred-grapes_690/index.html</t>
  </si>
  <si>
    <t>Eaternity: More than 150 Deliciously Easy Vegan Recipes for a Long, Healthy, Satisfied, Joyful Life</t>
  </si>
  <si>
    <t>https://books.toscrape.com/catalogue/eaternity-more-than-150-deliciously-easy-vegan-recipes-for-a-long-healthy-satisfied-joyful-life_689/index.html</t>
  </si>
  <si>
    <t>Eat Fat, Get Thin</t>
  </si>
  <si>
    <t>https://books.toscrape.com/catalogue/eat-fat-get-thin_688/index.html</t>
  </si>
  <si>
    <t>Don't Get Caught</t>
  </si>
  <si>
    <t>https://books.toscrape.com/catalogue/dont-get-caught_687/index.html</t>
  </si>
  <si>
    <t>Doctor Sleep (The Shining #2)</t>
  </si>
  <si>
    <t>https://books.toscrape.com/catalogue/doctor-sleep-the-shining-2_686/index.html</t>
  </si>
  <si>
    <t>Demigods &amp; Magicians: Percy and Annabeth Meet the Kanes (Percy Jackson &amp; Kane Chronicles Crossover #1-3)</t>
  </si>
  <si>
    <t>https://books.toscrape.com/catalogue/demigods-magicians-percy-and-annabeth-meet-the-kanes-percy-jackson-kane-chronicles-crossover-1-3_685/index.html</t>
  </si>
  <si>
    <t>Dear Mr. Knightley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</si>
  <si>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</si>
  <si>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</si>
  <si>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</si>
  <si>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a Relentless God</t>
  </si>
  <si>
    <t>https://books.toscrape.com/catalogue/crazy-love-overwhelmed-by-a-relentless-god_682/index.html</t>
  </si>
  <si>
    <t>Cometh the Hour (The Clifton Chronicles #6)</t>
  </si>
  <si>
    <t>https://books.toscrape.com/catalogue/cometh-the-hour-the-clifton-chronicles-6_681/index.html</t>
  </si>
  <si>
    <t>Code Name Verity (Code Name Verity #1)</t>
  </si>
  <si>
    <t>https://books.toscrape.com/catalogue/code-name-verity-code-name-verity-1_680/index.html</t>
  </si>
  <si>
    <t>Clockwork Angel (The Infernal Devices #1)</t>
  </si>
  <si>
    <t>https://books.toscrape.com/catalogue/clockwork-angel-the-infernal-devices-1_679/index.html</t>
  </si>
  <si>
    <t>City of Glass (The Mortal Instruments #3)</t>
  </si>
  <si>
    <t>https://books.toscrape.com/catalogue/city-of-glass-the-mortal-instruments-3_678/index.html</t>
  </si>
  <si>
    <t>City of Fallen Angels (The Mortal Instruments #4)</t>
  </si>
  <si>
    <t>https://books.toscrape.com/catalogue/city-of-fallen-angels-the-mortal-instruments-4_677/index.html</t>
  </si>
  <si>
    <t>City of Bones (The Mortal Instruments #1)</t>
  </si>
  <si>
    <t>https://books.toscrape.com/catalogue/city-of-bones-the-mortal-instruments-1_676/index.html</t>
  </si>
  <si>
    <t>City of Ashes (The Mortal Instruments #2)</t>
  </si>
  <si>
    <t>https://books.toscrape.com/catalogue/city-of-ashes-the-mortal-instruments-2_675/index.html</t>
  </si>
  <si>
    <t>Cell</t>
  </si>
  <si>
    <t>https://books.toscrape.com/catalogue/cell_674/index.html</t>
  </si>
  <si>
    <t>Catching Jordan (Hundred Oaks)</t>
  </si>
  <si>
    <t>https://books.toscrape.com/catalogue/catching-jordan-hundred-oaks_673/index.html</t>
  </si>
  <si>
    <t>Carry On, Warrior: Thoughts on Life Unarmed</t>
  </si>
  <si>
    <t>https://books.toscrape.com/catalogue/carry-on-warrior-thoughts-on-life-unarmed_672/index.html</t>
  </si>
  <si>
    <t>Carrie</t>
  </si>
  <si>
    <t>https://books.toscrape.com/catalogue/carrie_671/index.html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</si>
  <si>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</si>
  <si>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</si>
  <si>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</si>
  <si>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https://books.toscrape.com/catalogue/brain-on-fire-my-month-of-madness_669/index.html</t>
  </si>
  <si>
    <t>Batman: Europa</t>
  </si>
  <si>
    <t>https://books.toscrape.com/catalogue/batman-europa_668/index.html</t>
  </si>
  <si>
    <t>Barefoot Contessa Back to Basics</t>
  </si>
  <si>
    <t>https://books.toscrape.com/catalogue/barefoot-contessa-back-to-basics_667/index.html</t>
  </si>
  <si>
    <t>Barefoot Contessa at Home: Everyday Recipes You'll Make Over and Over Again</t>
  </si>
  <si>
    <t>https://books.toscrape.com/catalogue/barefoot-contessa-at-home-everyday-recipes-youll-make-over-and-over-again_666/index.html</t>
  </si>
  <si>
    <t>Balloon Animals</t>
  </si>
  <si>
    <t>https://books.toscrape.com/catalogue/balloon-animals_665/index.html</t>
  </si>
  <si>
    <t>Art Ops Vol. 1</t>
  </si>
  <si>
    <t>https://books.toscrape.com/catalogue/art-ops-vol-1_664/index.html</t>
  </si>
  <si>
    <t>Aristotle and Dante Discover the Secrets of the Universe (Aristotle and Dante Discover the Secrets of the Universe #1)</t>
  </si>
  <si>
    <t>https://books.toscrape.com/catalogue/aristotle-and-dante-discover-the-secrets-of-the-universe-aristotle-and-dante-discover-the-secrets-of-the-universe-1_663/index.html</t>
  </si>
  <si>
    <t>Angels Walking (Angels Walking #1)</t>
  </si>
  <si>
    <t>https://books.toscrape.com/catalogue/angels-walking-angels-walking-1_662/index.html</t>
  </si>
  <si>
    <t>Angels &amp; Demons (Robert Langdon #1)</t>
  </si>
  <si>
    <t>https://books.toscrape.com/catalogue/angels-demons-robert-langdon-1_661/index.html</t>
  </si>
  <si>
    <t>All the Light We Cannot See</t>
  </si>
  <si>
    <t>https://books.toscrape.com/catalogue/all-the-light-we-cannot-see_660/index.html</t>
  </si>
  <si>
    <t>Adulthood Is a Myth: A "Sarah's Scribbles" Collection</t>
  </si>
  <si>
    <t>https://books.toscrape.com/catalogue/adulthood-is-a-myth-a-sarahs-scribbles-collection_659/index.html</t>
  </si>
  <si>
    <t>Abstract City</t>
  </si>
  <si>
    <t>https://books.toscrape.com/catalogue/abstract-city_658/index.html</t>
  </si>
  <si>
    <t>A Time of Torment (Charlie Parker #14)</t>
  </si>
  <si>
    <t>https://books.toscrape.com/catalogue/a-time-of-torment-charlie-parker-14_657/index.html</t>
  </si>
  <si>
    <t>A Study in Scarlet (Sherlock Holmes #1)</t>
  </si>
  <si>
    <t>https://books.toscrape.com/catalogue/a-study-in-scarlet-sherlock-holmes-1_656/index.html</t>
  </si>
  <si>
    <t>A Series of Catastrophes and Miracles: A True Story of Love, Science, and Cancer</t>
  </si>
  <si>
    <t>https://books.toscrape.com/catalogue/a-series-of-catastrophes-and-miracles-a-true-story-of-love-science-and-cancer_655/index.html</t>
  </si>
  <si>
    <t>A People's History of the United States</t>
  </si>
  <si>
    <t>https://books.toscrape.com/catalogue/a-peoples-history-of-the-united-states_654/index.html</t>
  </si>
  <si>
    <t>A Man Called Ove</t>
  </si>
  <si>
    <t>https://books.toscrape.com/catalogue/a-man-called-ove_653/index.html</t>
  </si>
  <si>
    <t>A Distant Mirror: The Calamitous 14th Century</t>
  </si>
  <si>
    <t>https://books.toscrape.com/catalogue/a-distant-mirror-the-calamitous-14th-century_652/index.html</t>
  </si>
  <si>
    <t>A Brush of Wings (Angels Walking #3)</t>
  </si>
  <si>
    <t>https://books.toscrape.com/catalogue/a-brush-of-wings-angels-walking-3_651/index.html</t>
  </si>
  <si>
    <t>1491: New Revelations of the Americas Before Columbus</t>
  </si>
  <si>
    <t>https://books.toscrape.com/catalogue/1491-new-revelations-of-the-americas-before-columbus_650/index.html</t>
  </si>
  <si>
    <t>The Three Searches, Meaning, and the Story</t>
  </si>
  <si>
    <t>https://books.toscrape.com/catalogue/the-three-searches-meaning-and-the-story_649/index.html</t>
  </si>
  <si>
    <t>Searching for Meaning in Gailana</t>
  </si>
  <si>
    <t>https://books.toscrape.com/catalogue/searching-for-meaning-in-gailana_648/index.html</t>
  </si>
  <si>
    <t>Rook</t>
  </si>
  <si>
    <t>https://books.toscrape.com/catalogue/rook_647/index.html</t>
  </si>
  <si>
    <t>My Kitchen Year: 136 Recipes That Saved My Life</t>
  </si>
  <si>
    <t>https://books.toscrape.com/catalogue/my-kitchen-year-136-recipes-that-saved-my-life_646/index.html</t>
  </si>
  <si>
    <t>13 Hours: The Inside Account of What Really Happened In Benghazi</t>
  </si>
  <si>
    <t>https://books.toscrape.com/catalogue/13-hours-the-inside-account-of-what-really-happened-in-benghazi_645/index.html</t>
  </si>
  <si>
    <t>Will You Won't You Want Me?</t>
  </si>
  <si>
    <t>https://books.toscrape.com/catalogue/will-you-wont-you-want-me_644/index.html</t>
  </si>
  <si>
    <t>Tipping Point for Planet Earth: How Close Are We to the Edge?</t>
  </si>
  <si>
    <t>https://books.toscrape.com/catalogue/tipping-point-for-planet-earth-how-close-are-we-to-the-edge_643/index.html</t>
  </si>
  <si>
    <t>https://books.toscrape.com/catalogue/the-star-touched-queen_642/index.html</t>
  </si>
  <si>
    <t>The Silent Sister (Riley MacPherson #1)</t>
  </si>
  <si>
    <t>https://books.toscrape.com/catalogue/the-silent-sister-riley-macpherson-1_641/index.html</t>
  </si>
  <si>
    <t>The Midnight Watch: A Novel of the Titanic and the Californian</t>
  </si>
  <si>
    <t>https://books.toscrape.com/catalogue/the-midnight-watch-a-novel-of-the-titanic-and-the-californian_640/index.html</t>
  </si>
  <si>
    <t>The Lonely City: Adventures in the Art of Being Alone</t>
  </si>
  <si>
    <t>https://books.toscrape.com/catalogue/the-lonely-city-adventures-in-the-art-of-being-alone_639/index.html</t>
  </si>
  <si>
    <t>The Gray Rhino: How to Recognize and Act on the Obvious Dangers We Ignore</t>
  </si>
  <si>
    <t>https://books.toscrape.com/catalogue/the-gray-rhino-how-to-recognize-and-act-on-the-obvious-dangers-we-ignore_638/index.html</t>
  </si>
  <si>
    <t>The Golden Condom: And Other Essays on Love Lost and Found</t>
  </si>
  <si>
    <t>https://books.toscrape.com/catalogue/the-golden-condom-and-other-essays-on-love-lost-and-found_637/index.html</t>
  </si>
  <si>
    <t>The Epidemic (The Program 0.6)</t>
  </si>
  <si>
    <t>https://books.toscrape.com/catalogue/the-epidemic-the-program-06_636/index.html</t>
  </si>
  <si>
    <t>The Dinner Party</t>
  </si>
  <si>
    <t>https://books.toscrape.com/catalogue/the-dinner-party_635/index.html</t>
  </si>
  <si>
    <t>The Diary of a Young Girl</t>
  </si>
  <si>
    <t>https://books.toscrape.com/catalogue/the-diary-of-a-young-girl_634/index.html</t>
  </si>
  <si>
    <t>The Children</t>
  </si>
  <si>
    <t>https://books.toscrape.com/catalogue/the-children_633/index.html</t>
  </si>
  <si>
    <t>Stars Above (The Lunar Chronicles #4.5)</t>
  </si>
  <si>
    <t>https://books.toscrape.com/catalogue/stars-above-the-lunar-chronicles-45_632/index.html</t>
  </si>
  <si>
    <t>Snatched: How A Drug Queen Went Undercover for the DEA and Was Kidnapped By Colombian Guerillas</t>
  </si>
  <si>
    <t>https://books.toscrape.com/catalogue/snatched-how-a-drug-queen-went-undercover-for-the-dea-and-was-kidnapped-by-colombian-guerillas_631/index.html</t>
  </si>
  <si>
    <t>Raspberry Pi Electronics Projects for the Evil Genius</t>
  </si>
  <si>
    <t>https://books.toscrape.com/catalogue/raspberry-pi-electronics-projects-for-the-evil-genius_630/index.html</t>
  </si>
  <si>
    <t>Quench Your Own Thirst: Business Lessons Learned Over a Beer or Two</t>
  </si>
  <si>
    <t>https://books.toscrape.com/catalogue/quench-your-own-thirst-business-lessons-learned-over-a-beer-or-two_629/index.html</t>
  </si>
  <si>
    <t>Psycho: Sanitarium (Psycho #1.5)</t>
  </si>
  <si>
    <t>https://books.toscrape.com/catalogue/psycho-sanitarium-psycho-15_628/index.html</t>
  </si>
  <si>
    <t>Poisonous (Max Revere Novels #3)</t>
  </si>
  <si>
    <t>https://books.toscrape.com/catalogue/poisonous-max-revere-novels-3_627/index.html</t>
  </si>
  <si>
    <t>One with You (Crossfire #5)</t>
  </si>
  <si>
    <t>https://books.toscrape.com/catalogue/one-with-you-crossfire-5_626/index.html</t>
  </si>
  <si>
    <t>No Love Allowed (Dodge Cove #1)</t>
  </si>
  <si>
    <t>https://books.toscrape.com/catalogue/no-love-allowed-dodge-cove-1_625/index.html</t>
  </si>
  <si>
    <t>Murder at the 42nd Street Library (Raymond Ambler #1)</t>
  </si>
  <si>
    <t>https://books.toscrape.com/catalogue/murder-at-the-42nd-street-library-raymond-ambler-1_624/index.html</t>
  </si>
  <si>
    <t>Most Wanted</t>
  </si>
  <si>
    <t>https://books.toscrape.com/catalogue/most-wanted_623/index.html</t>
  </si>
  <si>
    <t>Love, Lies and Spies</t>
  </si>
  <si>
    <t>https://books.toscrape.com/catalogue/love-lies-and-spies_622/index.html</t>
  </si>
  <si>
    <t>How to Speak Golf: An Illustrated Guide to Links Lingo</t>
  </si>
  <si>
    <t>https://books.toscrape.com/catalogue/how-to-speak-golf-an-illustrated-guide-to-links-lingo_621/index.html</t>
  </si>
  <si>
    <t>Hide Away (Eve Duncan #20)</t>
  </si>
  <si>
    <t>https://books.toscrape.com/catalogue/hide-away-eve-duncan-20_620/index.html</t>
  </si>
  <si>
    <t>Furiously Happy: A Funny Book About Horrible Things</t>
  </si>
  <si>
    <t>https://books.toscrape.com/catalogue/furiously-happy-a-funny-book-about-horrible-things_619/index.html</t>
  </si>
  <si>
    <t>Everyday Italian: 125 Simple and Delicious Recipes</t>
  </si>
  <si>
    <t>https://books.toscrape.com/catalogue/everyday-italian-125-simple-and-delicious-recipes_618/index.html</t>
  </si>
  <si>
    <t>Equal Is Unfair: America's Misguided Fight Against Income Inequality</t>
  </si>
  <si>
    <t>https://books.toscrape.com/catalogue/equal-is-unfair-americas-misguided-fight-against-income-inequality_617/index.html</t>
  </si>
  <si>
    <t>Eleanor &amp; Park</t>
  </si>
  <si>
    <t>https://books.toscrape.com/catalogue/eleanor-park_616/index.html</t>
  </si>
  <si>
    <t>Dirty (Dive Bar #1)</t>
  </si>
  <si>
    <t>https://books.toscrape.com/catalogue/dirty-dive-bar-1_615/index.html</t>
  </si>
  <si>
    <t>Can You Keep a Secret? (Fear Street Relaunch #4)</t>
  </si>
  <si>
    <t>https://books.toscrape.com/catalogue/can-you-keep-a-secret-fear-street-relaunch-4_614/index.html</t>
  </si>
  <si>
    <t>Boar Island (Anna Pigeon #19)</t>
  </si>
  <si>
    <t>https://books.toscrape.com/catalogue/boar-island-anna-pigeon-19_613/index.html</t>
  </si>
  <si>
    <t>A Paris Apartment</t>
  </si>
  <si>
    <t>https://books.toscrape.com/catalogue/a-paris-apartment_612/index.html</t>
  </si>
  <si>
    <t>A la Mode: 120 Recipes in 60 Pairings: Pies, Tarts, Cakes, Crisps, and More Topped with Ice Cream, Gelato, Frozen Custard, and More</t>
  </si>
  <si>
    <t>https://books.toscrape.com/catalogue/a-la-mode-120-recipes-in-60-pairings-pies-tarts-cakes-crisps-and-more-topped-with-ice-cream-gelato-frozen-custard-and-more_611/index.html</t>
  </si>
  <si>
    <t>Troublemaker: Surviving Hollywood and Scientology</t>
  </si>
  <si>
    <t>https://books.toscrape.com/catalogue/troublemaker-surviving-hollywood-and-scientology_610/index.html</t>
  </si>
  <si>
    <t>The Widow</t>
  </si>
  <si>
    <t>https://books.toscrape.com/catalogue/the-widow_609/index.html</t>
  </si>
  <si>
    <t>The Sleep Revolution: Transforming Your Life, One Night at a Time</t>
  </si>
  <si>
    <t>https://books.toscrape.com/catalogue/the-sleep-revolution-transforming-your-life-one-night-at-a-time_608/index.html</t>
  </si>
  <si>
    <t>The Improbability of Love</t>
  </si>
  <si>
    <t>https://books.toscrape.com/catalogue/the-improbability-of-love_607/index.html</t>
  </si>
  <si>
    <t>The Art of Startup Fundraising</t>
  </si>
  <si>
    <t>https://books.toscrape.com/catalogue/the-art-of-startup-fundraising_606/index.html</t>
  </si>
  <si>
    <t>Take Me Home Tonight (Rock Star Romance #3)</t>
  </si>
  <si>
    <t>https://books.toscrape.com/catalogue/take-me-home-tonight-rock-star-romance-3_605/index.html</t>
  </si>
  <si>
    <t>Sleeping Giants (Themis Files #1)</t>
  </si>
  <si>
    <t>https://books.toscrape.com/catalogue/sleeping-giants-themis-files-1_604/index.html</t>
  </si>
  <si>
    <t>Setting the World on Fire: The Brief, Astonishing Life of St. Catherine of Siena</t>
  </si>
  <si>
    <t>https://books.toscrape.com/catalogue/setting-the-world-on-fire-the-brief-astonishing-life-of-st-catherine-of-siena_603/index.html</t>
  </si>
  <si>
    <t>Playing with Fire</t>
  </si>
  <si>
    <t>https://books.toscrape.com/catalogue/playing-with-fire_602/index.html</t>
  </si>
  <si>
    <t>Off the Hook (Fishing for Trouble #1)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</si>
  <si>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</si>
  <si>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</si>
  <si>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</si>
  <si>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</si>
  <si>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https://books.toscrape.com/catalogue/mother-can-you-not_599/index.html</t>
  </si>
  <si>
    <t>M Train</t>
  </si>
  <si>
    <t>https://books.toscrape.com/catalogue/m-train_598/index.html</t>
  </si>
  <si>
    <t>Lilac Girls</t>
  </si>
  <si>
    <t>https://books.toscrape.com/catalogue/lilac-girls_597/index.html</t>
  </si>
  <si>
    <t>Lies and Other Acts of Love</t>
  </si>
  <si>
    <t>https://books.toscrape.com/catalogue/lies-and-other-acts-of-love_596/index.html</t>
  </si>
  <si>
    <t>Lab Girl</t>
  </si>
  <si>
    <t>https://books.toscrape.com/catalogue/lab-girl_595/index.html</t>
  </si>
  <si>
    <t>Keep Me Posted</t>
  </si>
  <si>
    <t>https://books.toscrape.com/catalogue/keep-me-posted_594/index.html</t>
  </si>
  <si>
    <t>It Didn't Start with You: How Inherited Family Trauma Shapes Who We Are and How to End the Cycle</t>
  </si>
  <si>
    <t>https://books.toscrape.com/catalogue/it-didnt-start-with-you-how-inherited-family-trauma-shapes-who-we-are-and-how-to-end-the-cycle_593/index.html</t>
  </si>
  <si>
    <t>Grey (Fifty Shades #4)</t>
  </si>
  <si>
    <t>https://books.toscrape.com/catalogue/grey-fifty-shades-4_592/index.html</t>
  </si>
  <si>
    <t>Exit, Pursued by a Bear</t>
  </si>
  <si>
    <t>https://books.toscrape.com/catalogue/exit-pursued-by-a-bear_591/index.html</t>
  </si>
  <si>
    <t>Daredevils</t>
  </si>
  <si>
    <t>https://books.toscrape.com/catalogue/daredevils_590/index.html</t>
  </si>
  <si>
    <t>Cravings: Recipes for What You Want to Eat</t>
  </si>
  <si>
    <t>https://books.toscrape.com/catalogue/cravings-recipes-for-what-you-want-to-eat_589/index.html</t>
  </si>
  <si>
    <t>Born for This: How to Find the Work You Were Meant to Do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</si>
  <si>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</si>
  <si>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</si>
  <si>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</si>
  <si>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</si>
  <si>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https://books.toscrape.com/catalogue/adultery_586/index.html</t>
  </si>
  <si>
    <t>A Mother's Reckoning: Living in the Aftermath of Tragedy</t>
  </si>
  <si>
    <t>https://books.toscrape.com/catalogue/a-mothers-reckoning-living-in-the-aftermath-of-tragedy_585/index.html</t>
  </si>
  <si>
    <t>A Gentleman's Position (Society of Gentlemen #3)</t>
  </si>
  <si>
    <t>https://books.toscrape.com/catalogue/a-gentlemans-position-society-of-gentlemen-3_584/index.html</t>
  </si>
  <si>
    <t>11/22/63</t>
  </si>
  <si>
    <t>https://books.toscrape.com/catalogue/112263_583/index.html</t>
  </si>
  <si>
    <t>10% Happier: How I Tamed the Voice in My Head, Reduced Stress Without Losing My Edge, and Found Self-Help That Actually Works</t>
  </si>
  <si>
    <t>https://books.toscrape.com/catalogue/10-happier-how-i-tamed-the-voice-in-my-head-reduced-stress-without-losing-my-edge-and-found-self-help-that-actually-works_582/index.html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</si>
  <si>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</si>
  <si>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https://books.toscrape.com/catalogue/10-day-green-smoothie-cleanse-lose-up-to-15-pounds-in-10-days_581/index.html</t>
  </si>
  <si>
    <t>Without Shame</t>
  </si>
  <si>
    <t>https://books.toscrape.com/catalogue/without-shame_580/index.html</t>
  </si>
  <si>
    <t>Watchmen</t>
  </si>
  <si>
    <t>https://books.toscrape.com/catalogue/watchmen_579/index.html</t>
  </si>
  <si>
    <t>Unlimited Intuition Now</t>
  </si>
  <si>
    <t>https://books.toscrape.com/catalogue/unlimited-intuition-now_578/index.html</t>
  </si>
  <si>
    <t>Underlying Notes</t>
  </si>
  <si>
    <t>https://books.toscrape.com/catalogue/underlying-notes_577/index.html</t>
  </si>
  <si>
    <t>The Shack</t>
  </si>
  <si>
    <t>https://books.toscrape.com/catalogue/the-shack_576/index.html</t>
  </si>
  <si>
    <t>The New Brand You: Your New Image Makes the Sale for You</t>
  </si>
  <si>
    <t>https://books.toscrape.com/catalogue/the-new-brand-you-your-new-image-makes-the-sale-for-you_575/index.html</t>
  </si>
  <si>
    <t>The Moosewood Cookbook: Recipes from Moosewood Restaurant, Ithaca, New York</t>
  </si>
  <si>
    <t>https://books.toscrape.com/catalogue/the-moosewood-cookbook-recipes-from-moosewood-restaurant-ithaca-new-york_574/index.html</t>
  </si>
  <si>
    <t>The Flowers Lied</t>
  </si>
  <si>
    <t>https://books.toscrape.com/catalogue/the-flowers-lied_573/index.html</t>
  </si>
  <si>
    <t>The Fabric of the Cosmos: Space, Time, and the Texture of Reality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</si>
  <si>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</si>
  <si>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</si>
  <si>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</si>
  <si>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of Low Carbohydrate Living</t>
  </si>
  <si>
    <t>https://books.toscrape.com/catalogue/the-art-and-science-of-low-carbohydrate-living_570/index.html</t>
  </si>
  <si>
    <t>The Alien Club</t>
  </si>
  <si>
    <t>https://books.toscrape.com/catalogue/the-alien-club_569/index.html</t>
  </si>
  <si>
    <t>Suzie Snowflake: One beautiful flake (a self-esteem story)</t>
  </si>
  <si>
    <t>https://books.toscrape.com/catalogue/suzie-snowflake-one-beautiful-flake-a-self-esteem-story_568/index.html</t>
  </si>
  <si>
    <t>Nap-a-Roo</t>
  </si>
  <si>
    <t>https://books.toscrape.com/catalogue/nap-a-roo_567/index.html</t>
  </si>
  <si>
    <t>NaNo What Now? Finding your editing process, revising your NaNoWriMo book and building a writing career through publishing and beyond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</si>
  <si>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</si>
  <si>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</si>
  <si>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https://books.toscrape.com/catalogue/modern-day-fables_565/index.html</t>
  </si>
  <si>
    <t>If I Gave You God's Phone Number....: Searching for Spirituality in America</t>
  </si>
  <si>
    <t>https://books.toscrape.com/catalogue/if-i-gave-you-gods-phone-number-searching-for-spirituality-in-america_564/index.html</t>
  </si>
  <si>
    <t>Fruits Basket, Vol. 9 (Fruits Basket #9)</t>
  </si>
  <si>
    <t>https://books.toscrape.com/catalogue/fruits-basket-vol-9-fruits-basket-9_563/index.html</t>
  </si>
  <si>
    <t>Dress Your Family in Corduroy and Denim</t>
  </si>
  <si>
    <t>https://books.toscrape.com/catalogue/dress-your-family-in-corduroy-and-denim_562/index.html</t>
  </si>
  <si>
    <t>Don't Forget Steven</t>
  </si>
  <si>
    <t>https://books.toscrape.com/catalogue/dont-forget-steven_561/index.html</t>
  </si>
  <si>
    <t>Chernobyl 01:23:40: The Incredible True Story of the World's Worst Nuclear Disaster</t>
  </si>
  <si>
    <t>https://books.toscrape.com/catalogue/chernobyl-012340-the-incredible-true-story-of-the-worlds-worst-nuclear-disaster_560/index.html</t>
  </si>
  <si>
    <t>Art and Fear: Observations on the Perils (and Rewards) of Artmaking</t>
  </si>
  <si>
    <t>https://books.toscrape.com/catalogue/art-and-fear-observations-on-the-perils-and-rewards-of-artmaking_559/index.html</t>
  </si>
  <si>
    <t>A Shard of Ice (The Black Symphony Saga #1)</t>
  </si>
  <si>
    <t>https://books.toscrape.com/catalogue/a-shard-of-ice-the-black-symphony-saga-1_558/index.html</t>
  </si>
  <si>
    <t>A Hero's Curse (The Unseen Chronicles #1)</t>
  </si>
  <si>
    <t>https://books.toscrape.com/catalogue/a-heros-curse-the-unseen-chronicles-1_557/index.html</t>
  </si>
  <si>
    <t>23 Degrees South: A Tropical Tale of Changing Whether...</t>
  </si>
  <si>
    <t>https://books.toscrape.com/catalogue/23-degrees-south-a-tropical-tale-of-changing-whether_556/index.html</t>
  </si>
  <si>
    <t>Zero to One: Notes on Startups, or How to Build the Future</t>
  </si>
  <si>
    <t>https://books.toscrape.com/catalogue/zero-to-one-notes-on-startups-or-how-to-build-the-future_555/index.html</t>
  </si>
  <si>
    <t>Why Not Me?</t>
  </si>
  <si>
    <t>https://books.toscrape.com/catalogue/why-not-me_554/index.html</t>
  </si>
  <si>
    <t>When Breath Becomes Air</t>
  </si>
  <si>
    <t>https://books.toscrape.com/catalogue/when-breath-becomes-air_553/index.html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</si>
  <si>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</si>
  <si>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</si>
  <si>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</si>
  <si>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https://books.toscrape.com/catalogue/the-unlikely-pilgrimage-of-harold-fry-harold-fry-1_551/index.html</t>
  </si>
  <si>
    <t>The New Drawing on the Right Side of the Brain</t>
  </si>
  <si>
    <t>https://books.toscrape.com/catalogue/the-new-drawing-on-the-right-side-of-the-brain_550/index.html</t>
  </si>
  <si>
    <t>The Midnight Assassin: Panic, Scandal, and the Hunt for America's First Serial Killer</t>
  </si>
  <si>
    <t>https://books.toscrape.com/catalogue/the-midnight-assassin-panic-scandal-and-the-hunt-for-americas-first-serial-killer_549/index.html</t>
  </si>
  <si>
    <t>The Martian (The Martian #1)</t>
  </si>
  <si>
    <t>https://books.toscrape.com/catalogue/the-martian-the-martian-1_548/index.html</t>
  </si>
  <si>
    <t>The High Mountains of Portugal</t>
  </si>
  <si>
    <t>https://books.toscrape.com/catalogue/the-high-mountains-of-portugal_547/index.html</t>
  </si>
  <si>
    <t>The Grownup</t>
  </si>
  <si>
    <t>https://books.toscrape.com/catalogue/the-grownup_546/index.html</t>
  </si>
  <si>
    <t>The E-Myth Revisited: Why Most Small Businesses Don't Work and What to Do About It</t>
  </si>
  <si>
    <t>https://books.toscrape.com/catalogue/the-e-myth-revisited-why-most-small-businesses-dont-work-and-what-to-do-about-it_545/index.html</t>
  </si>
  <si>
    <t>South of Sunshine</t>
  </si>
  <si>
    <t>https://books.toscrape.com/catalogue/south-of-sunshine_544/index.html</t>
  </si>
  <si>
    <t>Smarter Faster Better: The Secrets of Being Productive in Life and Business</t>
  </si>
  <si>
    <t>https://books.toscrape.com/catalogue/smarter-faster-better-the-secrets-of-being-productive-in-life-and-business_543/index.html</t>
  </si>
  <si>
    <t>Silence in the Dark (Logan Point #4)</t>
  </si>
  <si>
    <t>https://books.toscrape.com/catalogue/silence-in-the-dark-logan-point-4_542/index.html</t>
  </si>
  <si>
    <t>Shadows of the Past (Logan Point #1)</t>
  </si>
  <si>
    <t>https://books.toscrape.com/catalogue/shadows-of-the-past-logan-point-1_541/index.html</t>
  </si>
  <si>
    <t>Roller Girl</t>
  </si>
  <si>
    <t>https://books.toscrape.com/catalogue/roller-girl_540/index.html</t>
  </si>
  <si>
    <t>Rising Strong</t>
  </si>
  <si>
    <t>https://books.toscrape.com/catalogue/rising-strong_539/index.html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</si>
  <si>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</si>
  <si>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</si>
  <si>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</si>
  <si>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https://books.toscrape.com/catalogue/please-kill-me-the-uncensored-oral-history-of-punk_537/index.html</t>
  </si>
  <si>
    <t>Out of Print: City Lights Spotlight No. 14</t>
  </si>
  <si>
    <t>https://books.toscrape.com/catalogue/out-of-print-city-lights-spotlight-no-14_536/index.html</t>
  </si>
  <si>
    <t>My Life Next Door (My Life Next Door )</t>
  </si>
  <si>
    <t>https://books.toscrape.com/catalogue/my-life-next-door-my-life-next-door_535/index.html</t>
  </si>
  <si>
    <t>Miller's Valley</t>
  </si>
  <si>
    <t>https://books.toscrape.com/catalogue/millers-valley_534/index.html</t>
  </si>
  <si>
    <t>Man's Search for Meaning</t>
  </si>
  <si>
    <t>https://books.toscrape.com/catalogue/mans-search-for-meaning_533/index.html</t>
  </si>
  <si>
    <t>Love That Boy: What Two Presidents, Eight Road Trips, and My Son Taught Me About a Parent's Expectations</t>
  </si>
  <si>
    <t>https://books.toscrape.com/catalogue/love-that-boy-what-two-presidents-eight-road-trips-and-my-son-taught-me-about-a-parents-expectations_532/index.html</t>
  </si>
  <si>
    <t>Living Forward: A Proven Plan to Stop Drifting and Get the Life You Want</t>
  </si>
  <si>
    <t>https://books.toscrape.com/catalogue/living-forward-a-proven-plan-to-stop-drifting-and-get-the-life-you-want_531/index.html</t>
  </si>
  <si>
    <t>Les Fleurs du Mal</t>
  </si>
  <si>
    <t>https://books.toscrape.com/catalogue/les-fleurs-du-mal_530/index.html</t>
  </si>
  <si>
    <t>Left Behind (Left Behind #1)</t>
  </si>
  <si>
    <t>https://books.toscrape.com/catalogue/left-behind-left-behind-1_529/index.html</t>
  </si>
  <si>
    <t>Kill 'Em and Leave: Searching for James Brown and the American Soul</t>
  </si>
  <si>
    <t>https://books.toscrape.com/catalogue/kill-em-and-leave-searching-for-james-brown-and-the-american-soul_528/index.html</t>
  </si>
  <si>
    <t>Kierkegaard: A Christian Missionary to Christians</t>
  </si>
  <si>
    <t>https://books.toscrape.com/catalogue/kierkegaard-a-christian-missionary-to-christians_527/index.html</t>
  </si>
  <si>
    <t>John Vassos: Industrial Design for Modern Life</t>
  </si>
  <si>
    <t>https://books.toscrape.com/catalogue/john-vassos-industrial-design-for-modern-life_526/index.html</t>
  </si>
  <si>
    <t>I'll Give You the Sun</t>
  </si>
  <si>
    <t>https://books.toscrape.com/catalogue/ill-give-you-the-sun_525/index.html</t>
  </si>
  <si>
    <t>I Will Find You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</si>
  <si>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</si>
  <si>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</si>
  <si>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</si>
  <si>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</si>
  <si>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https://books.toscrape.com/catalogue/howl-and-other-poems_522/index.html</t>
  </si>
  <si>
    <t>History of Beauty</t>
  </si>
  <si>
    <t>https://books.toscrape.com/catalogue/history-of-beauty_521/index.html</t>
  </si>
  <si>
    <t>Heaven is for Real: A Little Boy's Astounding Story of His Trip to Heaven and Back</t>
  </si>
  <si>
    <t>https://books.toscrape.com/catalogue/heaven-is-for-real-a-little-boys-astounding-story-of-his-trip-to-heaven-and-back_520/index.html</t>
  </si>
  <si>
    <t>Future Shock (Future Shock #1)</t>
  </si>
  <si>
    <t>https://books.toscrape.com/catalogue/future-shock-future-shock-1_519/index.html</t>
  </si>
  <si>
    <t>Ender's Game (The Ender Quintet #1)</t>
  </si>
  <si>
    <t>https://books.toscrape.com/catalogue/enders-game-the-ender-quintet-1_518/index.html</t>
  </si>
  <si>
    <t>Diary of a Citizen Scientist: Chasing Tiger Beetles and Other New Ways of Engaging the World</t>
  </si>
  <si>
    <t>https://books.toscrape.com/catalogue/diary-of-a-citizen-scientist-chasing-tiger-beetles-and-other-new-ways-of-engaging-the-world_517/index.html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</si>
  <si>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</si>
  <si>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</si>
  <si>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</si>
  <si>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https://books.toscrape.com/catalogue/brilliant-beacons-a-history-of-the-american-lighthouse_515/index.html</t>
  </si>
  <si>
    <t>Brazen: The Courage to Find the You That's Been Hiding</t>
  </si>
  <si>
    <t>https://books.toscrape.com/catalogue/brazen-the-courage-to-find-the-you-thats-been-hiding_514/index.html</t>
  </si>
  <si>
    <t>Between the World and Me</t>
  </si>
  <si>
    <t>https://books.toscrape.com/catalogue/between-the-world-and-me_513/index.html</t>
  </si>
  <si>
    <t>Being Mortal: Medicine and What Matters in the End</t>
  </si>
  <si>
    <t>https://books.toscrape.com/catalogue/being-mortal-medicine-and-what-matters-in-the-end_512/index.html</t>
  </si>
  <si>
    <t>A Murder Over a Girl: Justice, Gender, Junior High</t>
  </si>
  <si>
    <t>https://books.toscrape.com/catalogue/a-murder-over-a-girl-justice-gender-junior-high_511/index.html</t>
  </si>
  <si>
    <t>32 Yolks</t>
  </si>
  <si>
    <t>https://books.toscrape.com/catalogue/32-yolks_510/index.html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</si>
  <si>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</si>
  <si>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</si>
  <si>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</si>
  <si>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https://books.toscrape.com/catalogue/you-are-a-badass-how-to-stop-doubting-your-greatness-and-start-living-an-awesome-life_508/index.html</t>
  </si>
  <si>
    <t>Wildlife of New York: A Five-Borough Coloring Book</t>
  </si>
  <si>
    <t>https://books.toscrape.com/catalogue/wildlife-of-new-york-a-five-borough-coloring-book_507/index.html</t>
  </si>
  <si>
    <t>What Happened on Beale Street (Secrets of the South Mysteries #2)</t>
  </si>
  <si>
    <t>https://books.toscrape.com/catalogue/what-happened-on-beale-street-secrets-of-the-south-mysteries-2_506/index.html</t>
  </si>
  <si>
    <t>Unreasonable Hope: Finding Faith in the God Who Brings Purpose to Your Pain</t>
  </si>
  <si>
    <t>https://books.toscrape.com/catalogue/unreasonable-hope-finding-faith-in-the-god-who-brings-purpose-to-your-pain_505/index.html</t>
  </si>
  <si>
    <t>Under the Tuscan Sun</t>
  </si>
  <si>
    <t>https://books.toscrape.com/catalogue/under-the-tuscan-sun_504/index.html</t>
  </si>
  <si>
    <t>Toddlers Are A**holes: It's Not Your Fault</t>
  </si>
  <si>
    <t>https://books.toscrape.com/catalogue/toddlers-are-aholes-its-not-your-fault_503/index.html</t>
  </si>
  <si>
    <t>The Year of Living Biblically: One Man's Humble Quest to Follow the Bible as Literally as Possible</t>
  </si>
  <si>
    <t>https://books.toscrape.com/catalogue/the-year-of-living-biblically-one-mans-humble-quest-to-follow-the-bible-as-literally-as-possible_502/index.html</t>
  </si>
  <si>
    <t>The Whale</t>
  </si>
  <si>
    <t>https://books.toscrape.com/catalogue/the-whale_501/index.html</t>
  </si>
  <si>
    <t>The Story of Art</t>
  </si>
  <si>
    <t>https://books.toscrape.com/catalogue/the-story-of-art_500/index.html</t>
  </si>
  <si>
    <t>The Origin of Species</t>
  </si>
  <si>
    <t>https://books.toscrape.com/catalogue/the-origin-of-species_499/index.html</t>
  </si>
  <si>
    <t>The Great Gatsby</t>
  </si>
  <si>
    <t>https://books.toscrape.com/catalogue/the-great-gatsby_498/index.html</t>
  </si>
  <si>
    <t>The Good Girl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</si>
  <si>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</si>
  <si>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</si>
  <si>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</si>
  <si>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</si>
  <si>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</si>
  <si>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</si>
  <si>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</si>
  <si>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Tudor Court #1)</t>
  </si>
  <si>
    <t>https://books.toscrape.com/catalogue/the-constant-princess-the-tudor-court-1_493/index.html</t>
  </si>
  <si>
    <t>The Bourne Identity (Jason Bourne #1)</t>
  </si>
  <si>
    <t>https://books.toscrape.com/catalogue/the-bourne-identity-jason-bourne-1_492/index.html</t>
  </si>
  <si>
    <t>The Bachelor Girl's Guide to Murder (Herringford and Watts Mysteries #1)</t>
  </si>
  <si>
    <t>https://books.toscrape.com/catalogue/the-bachelor-girls-guide-to-murder-herringford-and-watts-mysteries-1_491/index.html</t>
  </si>
  <si>
    <t>The Art Book</t>
  </si>
  <si>
    <t>https://books.toscrape.com/catalogue/the-art-book_490/index.html</t>
  </si>
  <si>
    <t>The 7 Habits of Highly Effective People: Powerful Lessons in Personal Change</t>
  </si>
  <si>
    <t>https://books.toscrape.com/catalogue/the-7-habits-of-highly-effective-people-powerful-lessons-in-personal-change_489/index.html</t>
  </si>
  <si>
    <t>Team of Rivals: The Political Genius of Abraham Lincoln</t>
  </si>
  <si>
    <t>https://books.toscrape.com/catalogue/team-of-rivals-the-political-genius-of-abraham-lincoln_488/index.html</t>
  </si>
  <si>
    <t>Steal Like an Artist: 10 Things Nobody Told You About Being Creative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</si>
  <si>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</si>
  <si>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</si>
  <si>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</si>
  <si>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</si>
  <si>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https://books.toscrape.com/catalogue/sister-dear_485/index.html</t>
  </si>
  <si>
    <t>Shrunken Treasures: Literary Classics, Short, Sweet, and Silly</t>
  </si>
  <si>
    <t>https://books.toscrape.com/catalogue/shrunken-treasures-literary-classics-short-sweet-and-silly_484/index.html</t>
  </si>
  <si>
    <t>Rich Dad, Poor Dad</t>
  </si>
  <si>
    <t>https://books.toscrape.com/catalogue/rich-dad-poor-dad_483/index.html</t>
  </si>
  <si>
    <t>Raymie Nightingale</t>
  </si>
  <si>
    <t>https://books.toscrape.com/catalogue/raymie-nightingale_482/index.html</t>
  </si>
  <si>
    <t>Playing from the Heart</t>
  </si>
  <si>
    <t>https://books.toscrape.com/catalogue/playing-from-the-heart_481/index.html</t>
  </si>
  <si>
    <t>Nightstruck: A Novel</t>
  </si>
  <si>
    <t>https://books.toscrape.com/catalogue/nightstruck-a-novel_480/index.html</t>
  </si>
  <si>
    <t>Naturally Lean: 125 Nourishing Gluten-Free, Plant-Based Recipes--All Under 300 Calories</t>
  </si>
  <si>
    <t>https://books.toscrape.com/catalogue/naturally-lean-125-nourishing-gluten-free-plant-based-recipes-all-under-300-calories_479/index.html</t>
  </si>
  <si>
    <t>Meternity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</si>
  <si>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</si>
  <si>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</si>
  <si>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</si>
  <si>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</si>
  <si>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</si>
  <si>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</si>
  <si>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https://books.toscrape.com/catalogue/life-of-pi_475/index.html</t>
  </si>
  <si>
    <t>Leave This Song Behind: Teen Poetry at Its Best</t>
  </si>
  <si>
    <t>https://books.toscrape.com/catalogue/leave-this-song-behind-teen-poetry-at-its-best_474/index.html</t>
  </si>
  <si>
    <t>King's Folly (The Kinsman Chronicles #1)</t>
  </si>
  <si>
    <t>https://books.toscrape.com/catalogue/kings-folly-the-kinsman-chronicles-1_473/index.html</t>
  </si>
  <si>
    <t>John Adams</t>
  </si>
  <si>
    <t>https://books.toscrape.com/catalogue/john-adams_472/index.html</t>
  </si>
  <si>
    <t>How to Cook Everything Vegetarian: Simple Meatless Recipes for Great Food (How to Cook Everything)</t>
  </si>
  <si>
    <t>https://books.toscrape.com/catalogue/how-to-cook-everything-vegetarian-simple-meatless-recipes-for-great-food-how-to-cook-everything_471/index.html</t>
  </si>
  <si>
    <t>How to Be a Domestic Goddess: Baking and the Art of Comfort Cooking</t>
  </si>
  <si>
    <t>https://books.toscrape.com/catalogue/how-to-be-a-domestic-goddess-baking-and-the-art-of-comfort-cooking_470/index.html</t>
  </si>
  <si>
    <t>Good in Bed (Cannie Shapiro #1)</t>
  </si>
  <si>
    <t>https://books.toscrape.com/catalogue/good-in-bed-cannie-shapiro-1_469/index.html</t>
  </si>
  <si>
    <t>Fruits Basket, Vol. 7 (Fruits Basket #7)</t>
  </si>
  <si>
    <t>https://books.toscrape.com/catalogue/fruits-basket-vol-7-fruits-basket-7_468/index.html</t>
  </si>
  <si>
    <t>For the Love: Fighting for Grace in a World of Impossible Standards</t>
  </si>
  <si>
    <t>https://books.toscrape.com/catalogue/for-the-love-fighting-for-grace-in-a-world-of-impossible-standards_467/index.html</t>
  </si>
  <si>
    <t>Finding God in the Ruins: How God Redeems Pain</t>
  </si>
  <si>
    <t>https://books.toscrape.com/catalogue/finding-god-in-the-ruins-how-god-redeems-pain_466/index.html</t>
  </si>
  <si>
    <t>Every Heart a Doorway (Every Heart A Doorway #1)</t>
  </si>
  <si>
    <t>https://books.toscrape.com/catalogue/every-heart-a-doorway-every-heart-a-doorway-1_465/index.html</t>
  </si>
  <si>
    <t>Delivering the Truth (Quaker Midwife Mystery #1)</t>
  </si>
  <si>
    <t>https://books.toscrape.com/catalogue/delivering-the-truth-quaker-midwife-mystery-1_464/index.html</t>
  </si>
  <si>
    <t>Counted With the Stars (Out from Egypt #1)</t>
  </si>
  <si>
    <t>https://books.toscrape.com/catalogue/counted-with-the-stars-out-from-egypt-1_463/index.html</t>
  </si>
  <si>
    <t>Chronicles, Vol. 1</t>
  </si>
  <si>
    <t>https://books.toscrape.com/catalogue/chronicles-vol-1_462/index.html</t>
  </si>
  <si>
    <t>Blue Like Jazz: Nonreligious Thoughts on Christian Spirituality</t>
  </si>
  <si>
    <t>https://books.toscrape.com/catalogue/blue-like-jazz-nonreligious-thoughts-on-christian-spirituality_461/index.html</t>
  </si>
  <si>
    <t>Benjamin Franklin: An American Life</t>
  </si>
  <si>
    <t>https://books.toscrape.com/catalogue/benjamin-franklin-an-american-life_460/index.html</t>
  </si>
  <si>
    <t>At The Existentialist CafÃƒÂ©: Freedom, Being, and apricot cocktails with: Jean-Paul Sartre, Simone de Beauvoir, Albert Camus, Martin Heidegger, Edmund Husserl, Karl Jaspers, Maurice Merleau-Ponty and others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</si>
  <si>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</si>
  <si>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</si>
  <si>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https://books.toscrape.com/catalogue/a-summer-in-europe_458/index.html</t>
  </si>
  <si>
    <t>A Short History of Nearly Everything</t>
  </si>
  <si>
    <t>https://books.toscrape.com/catalogue/a-short-history-of-nearly-everything_457/index.html</t>
  </si>
  <si>
    <t>A Gathering of Shadows (Shades of Magic #2)</t>
  </si>
  <si>
    <t>https://books.toscrape.com/catalogue/a-gathering-of-shadows-shades-of-magic-2_456/index.html</t>
  </si>
  <si>
    <t>The Sound Of Love</t>
  </si>
  <si>
    <t>https://books.toscrape.com/catalogue/the-sound-of-love_455/index.html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</si>
  <si>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</si>
  <si>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</si>
  <si>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</si>
  <si>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</si>
  <si>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</si>
  <si>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https://books.toscrape.com/catalogue/the-mysterious-affair-at-styles-hercule-poirot-1_452/index.html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</si>
  <si>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</si>
  <si>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</si>
  <si>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</si>
  <si>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https://books.toscrape.com/catalogue/the-makings-of-a-fatherless-child_450/index.html</t>
  </si>
  <si>
    <t>The Joy of Cooking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</si>
  <si>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</si>
  <si>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</si>
  <si>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</si>
  <si>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</si>
  <si>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https://books.toscrape.com/catalogue/the-hobbit-middle-earth-universe_447/index.html</t>
  </si>
  <si>
    <t>The Great Railway Bazaar</t>
  </si>
  <si>
    <t>https://books.toscrape.com/catalogue/the-great-railway-bazaar_446/index.html</t>
  </si>
  <si>
    <t>The Golden Compass (His Dark Materials #1)</t>
  </si>
  <si>
    <t>https://books.toscrape.com/catalogue/the-golden-compass-his-dark-materials-1_445/index.html</t>
  </si>
  <si>
    <t>The God Delusion</t>
  </si>
  <si>
    <t>https://books.toscrape.com/catalogue/the-god-delusion_444/index.html</t>
  </si>
  <si>
    <t>The Girl You Left Behind (The Girl You Left Behind #1)</t>
  </si>
  <si>
    <t>https://books.toscrape.com/catalogue/the-girl-you-left-behind-the-girl-you-left-behind-1_443/index.html</t>
  </si>
  <si>
    <t>The Fellowship of the Ring (The Lord of the Rings #1)</t>
  </si>
  <si>
    <t>https://books.toscrape.com/catalogue/the-fellowship-of-the-ring-the-lord-of-the-rings-1_442/index.html</t>
  </si>
  <si>
    <t>The Collected Poems of W.B. Yeats (The Collected Works of W.B. Yeats #1)</t>
  </si>
  <si>
    <t>https://books.toscrape.com/catalogue/the-collected-poems-of-wb-yeats-the-collected-works-of-wb-yeats-1_441/index.html</t>
  </si>
  <si>
    <t>The Barefoot Contessa Cookbook</t>
  </si>
  <si>
    <t>https://books.toscrape.com/catalogue/the-barefoot-contessa-cookbook_440/index.html</t>
  </si>
  <si>
    <t>Tell the Wolves I'm Home</t>
  </si>
  <si>
    <t>https://books.toscrape.com/catalogue/tell-the-wolves-im-home_439/index.html</t>
  </si>
  <si>
    <t>Ship Leaves Harbor: Essays on Travel by a Recovering Journeyman</t>
  </si>
  <si>
    <t>https://books.toscrape.com/catalogue/ship-leaves-harbor-essays-on-travel-by-a-recovering-journeyman_438/index.html</t>
  </si>
  <si>
    <t>Pride and Prejudice</t>
  </si>
  <si>
    <t>https://books.toscrape.com/catalogue/pride-and-prejudice_437/index.html</t>
  </si>
  <si>
    <t>Musicophilia: Tales of Music and the Brain</t>
  </si>
  <si>
    <t>https://books.toscrape.com/catalogue/musicophilia-tales-of-music-and-the-brain_436/index.html</t>
  </si>
  <si>
    <t>Mere Christianity</t>
  </si>
  <si>
    <t>https://books.toscrape.com/catalogue/mere-christianity_435/index.html</t>
  </si>
  <si>
    <t>Me Before You (Me Before You #1)</t>
  </si>
  <si>
    <t>https://books.toscrape.com/catalogue/me-before-you-me-before-you-1_434/index.html</t>
  </si>
  <si>
    <t>In the Woods (Dublin Murder Squad #1)</t>
  </si>
  <si>
    <t>https://books.toscrape.com/catalogue/in-the-woods-dublin-murder-squad-1_433/index.html</t>
  </si>
  <si>
    <t>In Cold Blood</t>
  </si>
  <si>
    <t>https://books.toscrape.com/catalogue/in-cold-blood_432/index.html</t>
  </si>
  <si>
    <t>How to Stop Worrying and Start Living</t>
  </si>
  <si>
    <t>https://books.toscrape.com/catalogue/how-to-stop-worrying-and-start-living_431/index.html</t>
  </si>
  <si>
    <t>Give It Back</t>
  </si>
  <si>
    <t>https://books.toscrape.com/catalogue/give-it-back_430/index.html</t>
  </si>
  <si>
    <t>Girl, Interrupted</t>
  </si>
  <si>
    <t>https://books.toscrape.com/catalogue/girl-interrupted_429/index.html</t>
  </si>
  <si>
    <t>Fun Home: A Family Tragicomic</t>
  </si>
  <si>
    <t>https://books.toscrape.com/catalogue/fun-home-a-family-tragicomic_428/index.html</t>
  </si>
  <si>
    <t>Fruits Basket, Vol. 6 (Fruits Basket #6)</t>
  </si>
  <si>
    <t>https://books.toscrape.com/catalogue/fruits-basket-vol-6-fruits-basket-6_427/index.html</t>
  </si>
  <si>
    <t>Deception Point</t>
  </si>
  <si>
    <t>https://books.toscrape.com/catalogue/deception-point_426/index.html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</si>
  <si>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</si>
  <si>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</si>
  <si>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</si>
  <si>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https://books.toscrape.com/catalogue/catherine-the-great-portrait-of-a-woman_424/index.html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</si>
  <si>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</si>
  <si>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</si>
  <si>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</si>
  <si>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https://books.toscrape.com/catalogue/an-unquiet-mind-a-memoir-of-moods-and-madness_422/index.html</t>
  </si>
  <si>
    <t>A Year in Provence (Provence #1)</t>
  </si>
  <si>
    <t>https://books.toscrape.com/catalogue/a-year-in-provence-provence-1_421/index.html</t>
  </si>
  <si>
    <t>World Without End (The Pillars of the Earth #2)</t>
  </si>
  <si>
    <t>https://books.toscrape.com/catalogue/world-without-end-the-pillars-of-the-earth-2_420/index.html</t>
  </si>
  <si>
    <t>Will Grayson, Will Grayson (Will Grayson, Will Grayson)</t>
  </si>
  <si>
    <t>https://books.toscrape.com/catalogue/will-grayson-will-grayson-will-grayson-will-grayson_419/index.html</t>
  </si>
  <si>
    <t>Why Save the Bankers?: And Other Essays on Our Economic and Political Crisis</t>
  </si>
  <si>
    <t>https://books.toscrape.com/catalogue/why-save-the-bankers-and-other-essays-on-our-economic-and-political-crisis_418/index.html</t>
  </si>
  <si>
    <t>Where She Went (If I Stay #2)</t>
  </si>
  <si>
    <t>https://books.toscrape.com/catalogue/where-she-went-if-i-stay-2_417/index.html</t>
  </si>
  <si>
    <t>What If?: Serious Scientific Answers to Absurd Hypothetical Questions</t>
  </si>
  <si>
    <t>https://books.toscrape.com/catalogue/what-if-serious-scientific-answers-to-absurd-hypothetical-questions_416/index.html</t>
  </si>
  <si>
    <t>Two Summers</t>
  </si>
  <si>
    <t>https://books.toscrape.com/catalogue/two-summers_415/index.html</t>
  </si>
  <si>
    <t>This Is Your Brain on Music: The Science of a Human Obsession</t>
  </si>
  <si>
    <t>https://books.toscrape.com/catalogue/this-is-your-brain-on-music-the-science-of-a-human-obsession_414/index.html</t>
  </si>
  <si>
    <t>The Secret Garden</t>
  </si>
  <si>
    <t>https://books.toscrape.com/catalogue/the-secret-garden_413/index.html</t>
  </si>
  <si>
    <t>The Raven King (The Raven Cycle #4)</t>
  </si>
  <si>
    <t>https://books.toscrape.com/catalogue/the-raven-king-the-raven-cycle-4_412/index.html</t>
  </si>
  <si>
    <t>The Raven Boys (The Raven Cycle #1)</t>
  </si>
  <si>
    <t>https://books.toscrape.com/catalogue/the-raven-boys-the-raven-cycle-1_411/index.html</t>
  </si>
  <si>
    <t>The Power Greens Cookbook: 140 Delicious Superfood Recipes</t>
  </si>
  <si>
    <t>https://books.toscrape.com/catalogue/the-power-greens-cookbook-140-delicious-superfood-recipes_410/index.html</t>
  </si>
  <si>
    <t>The Metamorphosis</t>
  </si>
  <si>
    <t>https://books.toscrape.com/catalogue/the-metamorphosis_409/index.html</t>
  </si>
  <si>
    <t>The Mathews Men: Seven Brothers and the War Against Hitler's U-boats</t>
  </si>
  <si>
    <t>https://books.toscrape.com/catalogue/the-mathews-men-seven-brothers-and-the-war-against-hitlers-u-boats_408/index.html</t>
  </si>
  <si>
    <t>The Little Paris Bookshop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</si>
  <si>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</si>
  <si>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</si>
  <si>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</si>
  <si>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</si>
  <si>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https://books.toscrape.com/catalogue/the-grand-design_405/index.html</t>
  </si>
  <si>
    <t>The Firm</t>
  </si>
  <si>
    <t>https://books.toscrape.com/catalogue/the-firm_404/index.html</t>
  </si>
  <si>
    <t>The Fault in Our Stars</t>
  </si>
  <si>
    <t>https://books.toscrape.com/catalogue/the-fault-in-our-stars_403/index.html</t>
  </si>
  <si>
    <t>The False Prince (The Ascendance Trilogy #1)</t>
  </si>
  <si>
    <t>https://books.toscrape.com/catalogue/the-false-prince-the-ascendance-trilogy-1_402/index.html</t>
  </si>
  <si>
    <t>The Expatriates</t>
  </si>
  <si>
    <t>https://books.toscrape.com/catalogue/the-expatriates_401/index.html</t>
  </si>
  <si>
    <t>The Dream Thieves (The Raven Cycle #2)</t>
  </si>
  <si>
    <t>https://books.toscrape.com/catalogue/the-dream-thieves-the-raven-cycle-2_400/index.html</t>
  </si>
  <si>
    <t>The Darkest Corners</t>
  </si>
  <si>
    <t>https://books.toscrape.com/catalogue/the-darkest-corners_399/index.html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</si>
  <si>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</si>
  <si>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</si>
  <si>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</si>
  <si>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</si>
  <si>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</si>
  <si>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https://books.toscrape.com/catalogue/tell-the-wind-and-fire_396/index.html</t>
  </si>
  <si>
    <t>Tell Me Three Things</t>
  </si>
  <si>
    <t>https://books.toscrape.com/catalogue/tell-me-three-things_395/index.html</t>
  </si>
  <si>
    <t>Talking to Girls About Duran Duran: One Young Man's Quest for True Love and a Cooler Haircut</t>
  </si>
  <si>
    <t>https://books.toscrape.com/catalogue/talking-to-girls-about-duran-duran-one-young-mans-quest-for-true-love-and-a-cooler-haircut_394/index.html</t>
  </si>
  <si>
    <t>Siddhartha</t>
  </si>
  <si>
    <t>https://books.toscrape.com/catalogue/siddhartha_393/index.html</t>
  </si>
  <si>
    <t>Shiver (The Wolves of Mercy Falls #1)</t>
  </si>
  <si>
    <t>https://books.toscrape.com/catalogue/shiver-the-wolves-of-mercy-falls-1_392/index.html</t>
  </si>
  <si>
    <t>Remember Me?</t>
  </si>
  <si>
    <t>https://books.toscrape.com/catalogue/remember-me_391/index.html</t>
  </si>
  <si>
    <t>Red Dragon (Hannibal Lecter #1)</t>
  </si>
  <si>
    <t>https://books.toscrape.com/catalogue/red-dragon-hannibal-lecter-1_390/index.html</t>
  </si>
  <si>
    <t>Peak: Secrets from the New Science of Expertise</t>
  </si>
  <si>
    <t>https://books.toscrape.com/catalogue/peak-secrets-from-the-new-science-of-expertise_389/index.html</t>
  </si>
  <si>
    <t>My Mother Was Nuts</t>
  </si>
  <si>
    <t>https://books.toscrape.com/catalogue/my-mother-was-nuts_388/index.html</t>
  </si>
  <si>
    <t>Mexican Today: New and Rediscovered Recipes for Contemporary Kitchens</t>
  </si>
  <si>
    <t>https://books.toscrape.com/catalogue/mexican-today-new-and-rediscovered-recipes-for-contemporary-kitchens_387/index.html</t>
  </si>
  <si>
    <t>Maybe Something Beautiful: How Art Transformed a Neighborhood</t>
  </si>
  <si>
    <t>https://books.toscrape.com/catalogue/maybe-something-beautiful-how-art-transformed-a-neighborhood_386/index.html</t>
  </si>
  <si>
    <t>Lola and the Boy Next Door (Anna and the French Kiss #2)</t>
  </si>
  <si>
    <t>https://books.toscrape.com/catalogue/lola-and-the-boy-next-door-anna-and-the-french-kiss-2_385/index.html</t>
  </si>
  <si>
    <t>Logan Kade (Fallen Crest High #5.5)</t>
  </si>
  <si>
    <t>https://books.toscrape.com/catalogue/logan-kade-fallen-crest-high-55_384/index.html</t>
  </si>
  <si>
    <t>Last One Home (New Beginnings #1)</t>
  </si>
  <si>
    <t>https://books.toscrape.com/catalogue/last-one-home-new-beginnings-1_383/index.html</t>
  </si>
  <si>
    <t>Killing Floor (Jack Reacher #1)</t>
  </si>
  <si>
    <t>https://books.toscrape.com/catalogue/killing-floor-jack-reacher-1_382/index.html</t>
  </si>
  <si>
    <t>Kill the Boy Band</t>
  </si>
  <si>
    <t>https://books.toscrape.com/catalogue/kill-the-boy-band_381/index.html</t>
  </si>
  <si>
    <t>Isla and the Happily Ever After (Anna and the French Kiss #3)</t>
  </si>
  <si>
    <t>https://books.toscrape.com/catalogue/isla-and-the-happily-ever-after-anna-and-the-french-kiss-3_380/index.html</t>
  </si>
  <si>
    <t>If I Stay (If I Stay #1)</t>
  </si>
  <si>
    <t>https://books.toscrape.com/catalogue/if-i-stay-if-i-stay-1_379/index.html</t>
  </si>
  <si>
    <t>I Know Why the Caged Bird Sings (Maya Angelou's Autobiography #1)</t>
  </si>
  <si>
    <t>https://books.toscrape.com/catalogue/i-know-why-the-caged-bird-sings-maya-angelous-autobiography-1_378/index.html</t>
  </si>
  <si>
    <t>Harry Potter and the Deathly Hallows (Harry Potter #7)</t>
  </si>
  <si>
    <t>https://books.toscrape.com/catalogue/harry-potter-and-the-deathly-hallows-harry-potter-7_377/index.html</t>
  </si>
  <si>
    <t>Fruits Basket, Vol. 5 (Fruits Basket #5)</t>
  </si>
  <si>
    <t>https://books.toscrape.com/catalogue/fruits-basket-vol-5-fruits-basket-5_376/index.html</t>
  </si>
  <si>
    <t>Foundation (Foundation (Publication Order) #1)</t>
  </si>
  <si>
    <t>https://books.toscrape.com/catalogue/foundation-foundation-publication-order-1_375/index.html</t>
  </si>
  <si>
    <t>Fool Me Once</t>
  </si>
  <si>
    <t>https://books.toscrape.com/catalogue/fool-me-once_374/index.html</t>
  </si>
  <si>
    <t>Find Her (Detective D.D. Warren #8)</t>
  </si>
  <si>
    <t>https://books.toscrape.com/catalogue/find-her-detective-dd-warren-8_373/index.html</t>
  </si>
  <si>
    <t>Evicted: Poverty and Profit in the American City</t>
  </si>
  <si>
    <t>https://books.toscrape.com/catalogue/evicted-poverty-and-profit-in-the-american-city_372/index.html</t>
  </si>
  <si>
    <t>Drama</t>
  </si>
  <si>
    <t>https://books.toscrape.com/catalogue/drama_371/index.html</t>
  </si>
  <si>
    <t>Dracula the Un-Dead</t>
  </si>
  <si>
    <t>https://books.toscrape.com/catalogue/dracula-the-un-dead_370/index.html</t>
  </si>
  <si>
    <t>Digital Fortress</t>
  </si>
  <si>
    <t>https://books.toscrape.com/catalogue/digital-fortress_369/index.html</t>
  </si>
  <si>
    <t>Death Note, Vol. 5: Whiteout (Death Note #5)</t>
  </si>
  <si>
    <t>https://books.toscrape.com/catalogue/death-note-vol-5-whiteout-death-note-5_368/index.html</t>
  </si>
  <si>
    <t>Data, A Love Story: How I Gamed Online Dating to Meet My Match</t>
  </si>
  <si>
    <t>https://books.toscrape.com/catalogue/data-a-love-story-how-i-gamed-online-dating-to-meet-my-match_367/index.html</t>
  </si>
  <si>
    <t>Critique of Pure Reason</t>
  </si>
  <si>
    <t>https://books.toscrape.com/catalogue/critique-of-pure-reason_366/index.html</t>
  </si>
  <si>
    <t>Booked</t>
  </si>
  <si>
    <t>https://books.toscrape.com/catalogue/booked_365/index.html</t>
  </si>
  <si>
    <t>Blue Lily, Lily Blue (The Raven Cycle #3)</t>
  </si>
  <si>
    <t>https://books.toscrape.com/catalogue/blue-lily-lily-blue-the-raven-cycle-3_364/index.html</t>
  </si>
  <si>
    <t>Approval Junkie: Adventures in Caring Too Much</t>
  </si>
  <si>
    <t>https://books.toscrape.com/catalogue/approval-junkie-adventures-in-caring-too-much_363/index.html</t>
  </si>
  <si>
    <t>An Abundance of Katherines</t>
  </si>
  <si>
    <t>https://books.toscrape.com/catalogue/an-abundance-of-katherines_362/index.html</t>
  </si>
  <si>
    <t>America's War for the Greater Middle East: A Military History</t>
  </si>
  <si>
    <t>https://books.toscrape.com/catalogue/americas-war-for-the-greater-middle-east-a-military-history_361/index.html</t>
  </si>
  <si>
    <t>Alight (The Generations Trilogy #2)</t>
  </si>
  <si>
    <t>https://books.toscrape.com/catalogue/alight-the-generations-trilogy-2_360/index.html</t>
  </si>
  <si>
    <t>A Girl's Guide to Moving On (New Beginnings #2)</t>
  </si>
  <si>
    <t>https://books.toscrape.com/catalogue/a-girls-guide-to-moving-on-new-beginnings-2_359/index.html</t>
  </si>
  <si>
    <t>A Game of Thrones (A Song of Ice and Fire #1)</t>
  </si>
  <si>
    <t>https://books.toscrape.com/catalogue/a-game-of-thrones-a-song-of-ice-and-fire-1_358/index.html</t>
  </si>
  <si>
    <t>A Feast for Crows (A Song of Ice and Fire #4)</t>
  </si>
  <si>
    <t>https://books.toscrape.com/catalogue/a-feast-for-crows-a-song-of-ice-and-fire-4_357/index.html</t>
  </si>
  <si>
    <t>A Clash of Kings (A Song of Ice and Fire #2)</t>
  </si>
  <si>
    <t>https://books.toscrape.com/catalogue/a-clash-of-kings-a-song-of-ice-and-fire-2_356/index.html</t>
  </si>
  <si>
    <t>Vogue Colors A to Z: A Fashion Coloring Book</t>
  </si>
  <si>
    <t>https://books.toscrape.com/catalogue/vogue-colors-a-to-z-a-fashion-coloring-book_355/index.html</t>
  </si>
  <si>
    <t>The Shining (The Shining #1)</t>
  </si>
  <si>
    <t>https://books.toscrape.com/catalogue/the-shining-the-shining-1_354/index.html</t>
  </si>
  <si>
    <t>The Pilgrim's Progress</t>
  </si>
  <si>
    <t>https://books.toscrape.com/catalogue/the-pilgrims-progress_353/index.html</t>
  </si>
  <si>
    <t>The Perfect Play (Play by Play #1)</t>
  </si>
  <si>
    <t>https://books.toscrape.com/catalogue/the-perfect-play-play-by-play-1_352/index.html</t>
  </si>
  <si>
    <t>The Passion of Dolssa</t>
  </si>
  <si>
    <t>https://books.toscrape.com/catalogue/the-passion-of-dolssa_351/index.html</t>
  </si>
  <si>
    <t>The Jazz of Physics: The Secret Link Between Music and the Structure of the Universe</t>
  </si>
  <si>
    <t>https://books.toscrape.com/catalogue/the-jazz-of-physics-the-secret-link-between-music-and-the-structure-of-the-universe_350/index.html</t>
  </si>
  <si>
    <t>The Hunger Games (The Hunger Games #1)</t>
  </si>
  <si>
    <t>https://books.toscrape.com/catalogue/the-hunger-games-the-hunger-games-1_349/index.html</t>
  </si>
  <si>
    <t>The Hound of the Baskervilles (Sherlock Holmes #5)</t>
  </si>
  <si>
    <t>https://books.toscrape.com/catalogue/the-hound-of-the-baskervilles-sherlock-holmes-5_348/index.html</t>
  </si>
  <si>
    <t>The Gunning of America: Business and the Making of American Gun Culture</t>
  </si>
  <si>
    <t>https://books.toscrape.com/catalogue/the-gunning-of-america-business-and-the-making-of-american-gun-culture_347/index.html</t>
  </si>
  <si>
    <t>The Geography of Bliss: One Grump's Search for the Happiest Places in the World</t>
  </si>
  <si>
    <t>https://books.toscrape.com/catalogue/the-geography-of-bliss-one-grumps-search-for-the-happiest-places-in-the-world_346/index.html</t>
  </si>
  <si>
    <t>The Demonists (Demonist #1)</t>
  </si>
  <si>
    <t>https://books.toscrape.com/catalogue/the-demonists-demonist-1_345/index.html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</si>
  <si>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</si>
  <si>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</si>
  <si>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</si>
  <si>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https://books.toscrape.com/catalogue/the-bone-hunters-lexy-vaughan-steven-macaulay-2_343/index.html</t>
  </si>
  <si>
    <t>The Beast (Black Dagger Brotherhood #14)</t>
  </si>
  <si>
    <t>https://books.toscrape.com/catalogue/the-beast-black-dagger-brotherhood-14_342/index.html</t>
  </si>
  <si>
    <t>Some Women</t>
  </si>
  <si>
    <t>https://books.toscrape.com/catalogue/some-women_341/index.html</t>
  </si>
  <si>
    <t>Shopaholic Ties the Knot (Shopaholic #3)</t>
  </si>
  <si>
    <t>https://books.toscrape.com/catalogue/shopaholic-ties-the-knot-shopaholic-3_340/index.html</t>
  </si>
  <si>
    <t>Paper and Fire (The Great Library #2)</t>
  </si>
  <si>
    <t>https://books.toscrape.com/catalogue/paper-and-fire-the-great-library-2_339/index.html</t>
  </si>
  <si>
    <t>Outlander (Outlander #1)</t>
  </si>
  <si>
    <t>https://books.toscrape.com/catalogue/outlander-outlander-1_338/index.html</t>
  </si>
  <si>
    <t>Orchestra of Exiles: The Story of Bronislaw Huberman, the Israel Philharmonic, and the One Thousand Jews He Saved from Nazi Horrors</t>
  </si>
  <si>
    <t>https://books.toscrape.com/catalogue/orchestra-of-exiles-the-story-of-bronislaw-huberman-the-israel-philharmonic-and-the-one-thousand-jews-he-saved-from-nazi-horrors_337/index.html</t>
  </si>
  <si>
    <t>No One Here Gets Out Alive</t>
  </si>
  <si>
    <t>https://books.toscrape.com/catalogue/no-one-here-gets-out-alive_336/index.html</t>
  </si>
  <si>
    <t>Night Shift (Night Shift #1-20)</t>
  </si>
  <si>
    <t>https://books.toscrape.com/catalogue/night-shift-night-shift-1-20_335/index.html</t>
  </si>
  <si>
    <t>Needful Things</t>
  </si>
  <si>
    <t>https://books.toscrape.com/catalogue/needful-things_334/index.html</t>
  </si>
  <si>
    <t>Mockingjay (The Hunger Games #3)</t>
  </si>
  <si>
    <t>https://books.toscrape.com/catalogue/mockingjay-the-hunger-games-3_333/index.html</t>
  </si>
  <si>
    <t>Misery</t>
  </si>
  <si>
    <t>https://books.toscrape.com/catalogue/misery_332/index.html</t>
  </si>
  <si>
    <t>Little Women (Little Women #1)</t>
  </si>
  <si>
    <t>https://books.toscrape.com/catalogue/little-women-little-women-1_331/index.html</t>
  </si>
  <si>
    <t>It</t>
  </si>
  <si>
    <t>https://books.toscrape.com/catalogue/it_330/index.html</t>
  </si>
  <si>
    <t>Harry Potter and the Sorcerer's Stone (Harry Potter #1)</t>
  </si>
  <si>
    <t>https://books.toscrape.com/catalogue/harry-potter-and-the-sorcerers-stone-harry-potter-1_329/index.html</t>
  </si>
  <si>
    <t>Harry Potter and the Prisoner of Azkaban (Harry Potter #3)</t>
  </si>
  <si>
    <t>https://books.toscrape.com/catalogue/harry-potter-and-the-prisoner-of-azkaban-harry-potter-3_328/index.html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</si>
  <si>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</si>
  <si>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</si>
  <si>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</si>
  <si>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https://books.toscrape.com/catalogue/harry-potter-and-the-half-blood-prince-harry-potter-6_326/index.html</t>
  </si>
  <si>
    <t>Harry Potter and the Chamber of Secrets (Harry Potter #2)</t>
  </si>
  <si>
    <t>https://books.toscrape.com/catalogue/harry-potter-and-the-chamber-of-secrets-harry-potter-2_325/index.html</t>
  </si>
  <si>
    <t>Gone with the Wind</t>
  </si>
  <si>
    <t>https://books.toscrape.com/catalogue/gone-with-the-wind_324/index.html</t>
  </si>
  <si>
    <t>God Is Not Great: How Religion Poisons Everything</t>
  </si>
  <si>
    <t>https://books.toscrape.com/catalogue/god-is-not-great-how-religion-poisons-everything_323/index.html</t>
  </si>
  <si>
    <t>Girl With a Pearl Earring</t>
  </si>
  <si>
    <t>https://books.toscrape.com/catalogue/girl-with-a-pearl-earring_322/index.html</t>
  </si>
  <si>
    <t>Fruits Basket, Vol. 4 (Fruits Basket #4)</t>
  </si>
  <si>
    <t>https://books.toscrape.com/catalogue/fruits-basket-vol-4-fruits-basket-4_321/index.html</t>
  </si>
  <si>
    <t>Far From True (Promise Falls Trilogy #2)</t>
  </si>
  <si>
    <t>https://books.toscrape.com/catalogue/far-from-true-promise-falls-trilogy-2_320/index.html</t>
  </si>
  <si>
    <t>Dark Lover (Black Dagger Brotherhood #1)</t>
  </si>
  <si>
    <t>https://books.toscrape.com/catalogue/dark-lover-black-dagger-brotherhood-1_319/index.html</t>
  </si>
  <si>
    <t>Confessions of a Shopaholic (Shopaholic #1)</t>
  </si>
  <si>
    <t>https://books.toscrape.com/catalogue/confessions-of-a-shopaholic-shopaholic-1_318/index.html</t>
  </si>
  <si>
    <t>Changing the Game (Play by Play #2)</t>
  </si>
  <si>
    <t>https://books.toscrape.com/catalogue/changing-the-game-play-by-play-2_317/index.html</t>
  </si>
  <si>
    <t>Candide</t>
  </si>
  <si>
    <t>https://books.toscrape.com/catalogue/candide_316/index.html</t>
  </si>
  <si>
    <t>Can You Keep a Secret?</t>
  </si>
  <si>
    <t>https://books.toscrape.com/catalogue/can-you-keep-a-secret_315/index.html</t>
  </si>
  <si>
    <t>Atlas Shrugged</t>
  </si>
  <si>
    <t>https://books.toscrape.com/catalogue/atlas-shrugged_314/index.html</t>
  </si>
  <si>
    <t>Animal Farm</t>
  </si>
  <si>
    <t>https://books.toscrape.com/catalogue/animal-farm_313/index.html</t>
  </si>
  <si>
    <t>A Walk to Remember</t>
  </si>
  <si>
    <t>https://books.toscrape.com/catalogue/a-walk-to-remember_312/index.html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</si>
  <si>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</si>
  <si>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</si>
  <si>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</si>
  <si>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https://books.toscrape.com/catalogue/a-history-of-god-the-4000-year-quest-of-judaism-christianity-and-islam_310/index.html</t>
  </si>
  <si>
    <t>'Salem's Lot</t>
  </si>
  <si>
    <t>https://books.toscrape.com/catalogue/salems-lot_309/index.html</t>
  </si>
  <si>
    <t>Zero History (Blue Ant #3)</t>
  </si>
  <si>
    <t>https://books.toscrape.com/catalogue/zero-history-blue-ant-3_308/index.html</t>
  </si>
  <si>
    <t>Wuthering Heights</t>
  </si>
  <si>
    <t>https://books.toscrape.com/catalogue/wuthering-heights_307/index.html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</si>
  <si>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</si>
  <si>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</si>
  <si>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</si>
  <si>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</si>
  <si>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</si>
  <si>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https://books.toscrape.com/catalogue/whered-you-go-bernadette_304/index.html</t>
  </si>
  <si>
    <t>When You Are Engulfed in Flames</t>
  </si>
  <si>
    <t>https://books.toscrape.com/catalogue/when-you-are-engulfed-in-flames_303/index.html</t>
  </si>
  <si>
    <t>We the People: The Modern-Day Figures Who Have Reshaped and Affirmed the Founding Fathers' Vision of America</t>
  </si>
  <si>
    <t>https://books.toscrape.com/catalogue/we-the-people-the-modern-day-figures-who-have-reshaped-and-affirmed-the-founding-fathers-vision-of-america_302/index.html</t>
  </si>
  <si>
    <t>We Are All Completely Beside Ourselves</t>
  </si>
  <si>
    <t>https://books.toscrape.com/catalogue/we-are-all-completely-beside-ourselves_301/index.html</t>
  </si>
  <si>
    <t>Walk the Edge (Thunder Road #2)</t>
  </si>
  <si>
    <t>https://books.toscrape.com/catalogue/walk-the-edge-thunder-road-2_300/index.html</t>
  </si>
  <si>
    <t>Voyager (Outlander #3)</t>
  </si>
  <si>
    <t>https://books.toscrape.com/catalogue/voyager-outlander-3_299/index.html</t>
  </si>
  <si>
    <t>Very Good Lives: The Fringe Benefits of Failure and the Importance of Imagination</t>
  </si>
  <si>
    <t>https://books.toscrape.com/catalogue/very-good-lives-the-fringe-benefits-of-failure-and-the-importance-of-imagination_298/index.html</t>
  </si>
  <si>
    <t>Vegan Vegetarian Omnivore: Dinner for Everyone at the Table</t>
  </si>
  <si>
    <t>https://books.toscrape.com/catalogue/vegan-vegetarian-omnivore-dinner-for-everyone-at-the-table_297/index.html</t>
  </si>
  <si>
    <t>Unstuffed: Decluttering Your Home, Mind, and Soul</t>
  </si>
  <si>
    <t>https://books.toscrape.com/catalogue/unstuffed-decluttering-your-home-mind-and-soul_296/index.html</t>
  </si>
  <si>
    <t>Under the Banner of Heaven: A Story of Violent Faith</t>
  </si>
  <si>
    <t>https://books.toscrape.com/catalogue/under-the-banner-of-heaven-a-story-of-violent-faith_295/index.html</t>
  </si>
  <si>
    <t>Two Boys Kissing</t>
  </si>
  <si>
    <t>https://books.toscrape.com/catalogue/two-boys-kissing_294/index.html</t>
  </si>
  <si>
    <t>Twilight (Twilight #1)</t>
  </si>
  <si>
    <t>https://books.toscrape.com/catalogue/twilight-twilight-1_293/index.html</t>
  </si>
  <si>
    <t>Twenties Girl</t>
  </si>
  <si>
    <t>https://books.toscrape.com/catalogue/twenties-girl_292/index.html</t>
  </si>
  <si>
    <t>Trespassing Across America: One Man's Epic, Never-Done-Before (and Sort of Illegal) Hike Across the Heartland</t>
  </si>
  <si>
    <t>https://books.toscrape.com/catalogue/trespassing-across-america-one-mans-epic-never-done-before-and-sort-of-illegal-hike-across-the-heartland_291/index.html</t>
  </si>
  <si>
    <t>Three-Martini Lunch</t>
  </si>
  <si>
    <t>https://books.toscrape.com/catalogue/three-martini-lunch_290/index.html</t>
  </si>
  <si>
    <t>Thinking, Fast and Slow</t>
  </si>
  <si>
    <t>https://books.toscrape.com/catalogue/thinking-fast-and-slow_289/index.html</t>
  </si>
  <si>
    <t>The Wild Robot</t>
  </si>
  <si>
    <t>https://books.toscrape.com/catalogue/the-wild-robot_288/index.html</t>
  </si>
  <si>
    <t>The Wicked + The Divine, Vol. 3: Commercial Suicide (The Wicked + The Divine)</t>
  </si>
  <si>
    <t>https://books.toscrape.com/catalogue/the-wicked-the-divine-vol-3-commercial-suicide-the-wicked-the-divine_287/index.html</t>
  </si>
  <si>
    <t>The Undomestic Goddess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</si>
  <si>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</si>
  <si>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</si>
  <si>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</si>
  <si>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Little Things Can Make a Big Difference</t>
  </si>
  <si>
    <t>https://books.toscrape.com/catalogue/the-tipping-point-how-little-things-can-make-a-big-difference_284/index.html</t>
  </si>
  <si>
    <t>The Thing About Jellyfish</t>
  </si>
  <si>
    <t>https://books.toscrape.com/catalogue/the-thing-about-jellyfish_283/index.html</t>
  </si>
  <si>
    <t>The Stand</t>
  </si>
  <si>
    <t>https://books.toscrape.com/catalogue/the-stand_282/index.html</t>
  </si>
  <si>
    <t>The Smitten Kitchen Cookbook</t>
  </si>
  <si>
    <t>https://books.toscrape.com/catalogue/the-smitten-kitchen-cookbook_281/index.html</t>
  </si>
  <si>
    <t>The Silkworm (Cormoran Strike #2)</t>
  </si>
  <si>
    <t>https://books.toscrape.com/catalogue/the-silkworm-cormoran-strike-2_280/index.html</t>
  </si>
  <si>
    <t>The Sandman, Vol. 3: Dream Country (The Sandman (volumes) #3)</t>
  </si>
  <si>
    <t>https://books.toscrape.com/catalogue/the-sandman-vol-3-dream-country-the-sandman-volumes-3_279/index.html</t>
  </si>
  <si>
    <t>The Rose &amp; the Dagger (The Wrath and the Dawn #2)</t>
  </si>
  <si>
    <t>https://books.toscrape.com/catalogue/the-rose-the-dagger-the-wrath-and-the-dawn-2_278/index.html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</si>
  <si>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</si>
  <si>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</si>
  <si>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</si>
  <si>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https://books.toscrape.com/catalogue/the-rise-of-theodore-roosevelt-theodore-roosevelt-1_276/index.html</t>
  </si>
  <si>
    <t>The Restaurant at the End of the Universe (Hitchhiker's Guide to the Galaxy #2)</t>
  </si>
  <si>
    <t>https://books.toscrape.com/catalogue/the-restaurant-at-the-end-of-the-universe-hitchhikers-guide-to-the-galaxy-2_275/index.html</t>
  </si>
  <si>
    <t>The Rest Is Noise: Listening to the Twentieth Century</t>
  </si>
  <si>
    <t>https://books.toscrape.com/catalogue/the-rest-is-noise-listening-to-the-twentieth-century_274/index.html</t>
  </si>
  <si>
    <t>The Red Tent</t>
  </si>
  <si>
    <t>https://books.toscrape.com/catalogue/the-red-tent_273/index.html</t>
  </si>
  <si>
    <t>The Purpose Driven Life: What on Earth Am I Here for?</t>
  </si>
  <si>
    <t>https://books.toscrape.com/catalogue/the-purpose-driven-life-what-on-earth-am-i-here-for_272/index.html</t>
  </si>
  <si>
    <t>The Purest Hook (Second Circle Tattoos #3)</t>
  </si>
  <si>
    <t>https://books.toscrape.com/catalogue/the-purest-hook-second-circle-tattoos-3_271/index.html</t>
  </si>
  <si>
    <t>The Picture of Dorian Gray</t>
  </si>
  <si>
    <t>https://books.toscrape.com/catalogue/the-picture-of-dorian-gray_270/index.html</t>
  </si>
  <si>
    <t>The Paris Wife</t>
  </si>
  <si>
    <t>https://books.toscrape.com/catalogue/the-paris-wife_269/index.html</t>
  </si>
  <si>
    <t>The Obsession</t>
  </si>
  <si>
    <t>https://books.toscrape.com/catalogue/the-obsession_268/index.html</t>
  </si>
  <si>
    <t>The Nightingale</t>
  </si>
  <si>
    <t>https://books.toscrape.com/catalogue/the-nightingale_267/index.html</t>
  </si>
  <si>
    <t>The New Guy (and Other Senior Year Distractions)</t>
  </si>
  <si>
    <t>https://books.toscrape.com/catalogue/the-new-guy-and-other-senior-year-distractions_266/index.html</t>
  </si>
  <si>
    <t>The Nanny Diaries (Nanny #1)</t>
  </si>
  <si>
    <t>https://books.toscrape.com/catalogue/the-nanny-diaries-nanny-1_265/index.html</t>
  </si>
  <si>
    <t>The Name of God is Mercy</t>
  </si>
  <si>
    <t>https://books.toscrape.com/catalogue/the-name-of-god-is-mercy_264/index.html</t>
  </si>
  <si>
    <t>The Maze Runner (The Maze Runner #1)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</si>
  <si>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</si>
  <si>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</si>
  <si>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</si>
  <si>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</si>
  <si>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https://books.toscrape.com/catalogue/the-lonely-ones_261/index.html</t>
  </si>
  <si>
    <t>The Lean Startup: How Today's Entrepreneurs Use Continuous Innovation to Create Radically Successful Businesses</t>
  </si>
  <si>
    <t>https://books.toscrape.com/catalogue/the-lean-startup-how-todays-entrepreneurs-use-continuous-innovation-to-create-radically-successful-businesses_260/index.html</t>
  </si>
  <si>
    <t>The Last Painting of Sara de Vos</t>
  </si>
  <si>
    <t>https://books.toscrape.com/catalogue/the-last-painting-of-sara-de-vos_259/index.html</t>
  </si>
  <si>
    <t>The Land of 10,000 Madonnas</t>
  </si>
  <si>
    <t>https://books.toscrape.com/catalogue/the-land-of-10000-madonnas_258/index.html</t>
  </si>
  <si>
    <t>The Infinities</t>
  </si>
  <si>
    <t>https://books.toscrape.com/catalogue/the-infinities_257/index.html</t>
  </si>
  <si>
    <t>The Husband's Secret</t>
  </si>
  <si>
    <t>https://books.toscrape.com/catalogue/the-husbands-secret_256/index.html</t>
  </si>
  <si>
    <t>The Hitchhiker's Guide to the Galaxy (Hitchhiker's Guide to the Galaxy #1)</t>
  </si>
  <si>
    <t>https://books.toscrape.com/catalogue/the-hitchhikers-guide-to-the-galaxy-hitchhikers-guide-to-the-galaxy-1_255/index.html</t>
  </si>
  <si>
    <t>The Guns of August</t>
  </si>
  <si>
    <t>https://books.toscrape.com/catalogue/the-guns-of-august_254/index.html</t>
  </si>
  <si>
    <t>The Guernsey Literary and Potato Peel Pie Society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</si>
  <si>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</si>
  <si>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</si>
  <si>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</si>
  <si>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Quartet #1)</t>
  </si>
  <si>
    <t>https://books.toscrape.com/catalogue/the-giver-the-giver-quartet-1_251/index.html</t>
  </si>
  <si>
    <t>The Girl with All the Gifts</t>
  </si>
  <si>
    <t>https://books.toscrape.com/catalogue/the-girl-with-all-the-gifts_250/index.html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</si>
  <si>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</si>
  <si>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</si>
  <si>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</si>
  <si>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https://books.toscrape.com/catalogue/the-girl-who-kicked-the-hornets-nest-millennium-trilogy-3_248/index.html</t>
  </si>
  <si>
    <t>The Exiled</t>
  </si>
  <si>
    <t>https://books.toscrape.com/catalogue/the-exiled_247/index.html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</si>
  <si>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</si>
  <si>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</si>
  <si>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</si>
  <si>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https://books.toscrape.com/catalogue/the-elegant-universe-superstrings-hidden-dimensions-and-the-quest-for-the-ultimate-theory_245/index.html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</si>
  <si>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</si>
  <si>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https://books.toscrape.com/catalogue/the-disappearing-spoon-and-other-true-tales-of-madness-love-and-the-history-of-the-world-from-the-periodic-table-of-the-elements_244/index.html</t>
  </si>
  <si>
    <t>The Devil Wears Prada (The Devil Wears Prada #1)</t>
  </si>
  <si>
    <t>https://books.toscrape.com/catalogue/the-devil-wears-prada-the-devil-wears-prada-1_243/index.html</t>
  </si>
  <si>
    <t>The Demon-Haunted World: Science as a Candle in the Dark</t>
  </si>
  <si>
    <t>https://books.toscrape.com/catalogue/the-demon-haunted-world-science-as-a-candle-in-the-dark_242/index.html</t>
  </si>
  <si>
    <t>The Day the Crayons Came Home (Crayons)</t>
  </si>
  <si>
    <t>https://books.toscrape.com/catalogue/the-day-the-crayons-came-home-crayons_241/index.html</t>
  </si>
  <si>
    <t>The Da Vinci Code (Robert Langdon #2)</t>
  </si>
  <si>
    <t>https://books.toscrape.com/catalogue/the-da-vinci-code-robert-langdon-2_240/index.html</t>
  </si>
  <si>
    <t>The Cuckoo's Calling (Cormoran Strike #1)</t>
  </si>
  <si>
    <t>https://books.toscrape.com/catalogue/the-cuckoos-calling-cormoran-strike-1_239/index.html</t>
  </si>
  <si>
    <t>The Complete Stories and Poems (The Works of Edgar Allan Poe [Cameo Edition])</t>
  </si>
  <si>
    <t>https://books.toscrape.com/catalogue/the-complete-stories-and-poems-the-works-of-edgar-allan-poe-cameo-edition_238/index.html</t>
  </si>
  <si>
    <t>The Complete Poems</t>
  </si>
  <si>
    <t>https://books.toscrape.com/catalogue/the-complete-poems_237/index.html</t>
  </si>
  <si>
    <t>The Catcher in the Rye</t>
  </si>
  <si>
    <t>https://books.toscrape.com/catalogue/the-catcher-in-the-rye_236/index.html</t>
  </si>
  <si>
    <t>The Cat in the Hat (Beginner Books B-1)</t>
  </si>
  <si>
    <t>https://books.toscrape.com/catalogue/the-cat-in-the-hat-beginner-books-b-1_235/index.html</t>
  </si>
  <si>
    <t>The Case for Christ (Cases for Christianity)</t>
  </si>
  <si>
    <t>https://books.toscrape.com/catalogue/the-case-for-christ-cases-for-christianity_234/index.html</t>
  </si>
  <si>
    <t>The Book Thief</t>
  </si>
  <si>
    <t>https://books.toscrape.com/catalogue/the-book-thief_233/index.html</t>
  </si>
  <si>
    <t>The Book of Basketball: The NBA According to The Sports Guy</t>
  </si>
  <si>
    <t>https://books.toscrape.com/catalogue/the-book-of-basketball-the-nba-according-to-the-sports-guy_232/index.html</t>
  </si>
  <si>
    <t>The Blind Side: Evolution of a Game</t>
  </si>
  <si>
    <t>https://books.toscrape.com/catalogue/the-blind-side-evolution-of-a-game_231/index.html</t>
  </si>
  <si>
    <t>The Autobiography of Malcolm X</t>
  </si>
  <si>
    <t>https://books.toscrape.com/catalogue/the-autobiography-of-malcolm-x_230/index.html</t>
  </si>
  <si>
    <t>The Art of Simple Food: Notes, Lessons, and Recipes from a Delicious Revolution</t>
  </si>
  <si>
    <t>https://books.toscrape.com/catalogue/the-art-of-simple-food-notes-lessons-and-recipes-from-a-delicious-revolution_229/index.html</t>
  </si>
  <si>
    <t>The Art of Fielding</t>
  </si>
  <si>
    <t>https://books.toscrape.com/catalogue/the-art-of-fielding_228/index.html</t>
  </si>
  <si>
    <t>Surely You're Joking, Mr. Feynman!: Adventures of a Curious Character</t>
  </si>
  <si>
    <t>https://books.toscrape.com/catalogue/surely-youre-joking-mr-feynman-adventures-of-a-curious-character_227/index.html</t>
  </si>
  <si>
    <t>Stiff: The Curious Lives of Human Cadavers</t>
  </si>
  <si>
    <t>https://books.toscrape.com/catalogue/stiff-the-curious-lives-of-human-cadavers_226/index.html</t>
  </si>
  <si>
    <t>Spilled Milk: Based on a True Story</t>
  </si>
  <si>
    <t>https://books.toscrape.com/catalogue/spilled-milk-based-on-a-true-story_225/index.html</t>
  </si>
  <si>
    <t>Something Borrowed (Darcy &amp; Rachel #1)</t>
  </si>
  <si>
    <t>https://books.toscrape.com/catalogue/something-borrowed-darcy-rachel-1_224/index.html</t>
  </si>
  <si>
    <t>Something Blue (Darcy &amp; Rachel #2)</t>
  </si>
  <si>
    <t>https://books.toscrape.com/catalogue/something-blue-darcy-rachel-2_223/index.html</t>
  </si>
  <si>
    <t>Soldier (Talon #3)</t>
  </si>
  <si>
    <t>https://books.toscrape.com/catalogue/soldier-talon-3_222/index.html</t>
  </si>
  <si>
    <t>Shopaholic &amp; Baby (Shopaholic #5)</t>
  </si>
  <si>
    <t>https://books.toscrape.com/catalogue/shopaholic-baby-shopaholic-5_221/index.html</t>
  </si>
  <si>
    <t>Seven Days in the Art World</t>
  </si>
  <si>
    <t>https://books.toscrape.com/catalogue/seven-days-in-the-art-world_220/index.html</t>
  </si>
  <si>
    <t>Seven Brief Lessons on Physics</t>
  </si>
  <si>
    <t>https://books.toscrape.com/catalogue/seven-brief-lessons-on-physics_219/index.html</t>
  </si>
  <si>
    <t>Scarlet (The Lunar Chronicles #2)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</si>
  <si>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</si>
  <si>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</si>
  <si>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</si>
  <si>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(Collected Editions) #3)</t>
  </si>
  <si>
    <t>https://books.toscrape.com/catalogue/saga-volume-3-saga-collected-editions-3_216/index.html</t>
  </si>
  <si>
    <t>Running with Scissors</t>
  </si>
  <si>
    <t>https://books.toscrape.com/catalogue/running-with-scissors_215/index.html</t>
  </si>
  <si>
    <t>Rogue Lawyer (Rogue Lawyer #1)</t>
  </si>
  <si>
    <t>https://books.toscrape.com/catalogue/rogue-lawyer-rogue-lawyer-1_214/index.html</t>
  </si>
  <si>
    <t>Rise of the Rocket Girls: The Women Who Propelled Us, from Missiles to the Moon to Mars</t>
  </si>
  <si>
    <t>https://books.toscrape.com/catalogue/rise-of-the-rocket-girls-the-women-who-propelled-us-from-missiles-to-the-moon-to-mars_213/index.html</t>
  </si>
  <si>
    <t>Rework</t>
  </si>
  <si>
    <t>https://books.toscrape.com/catalogue/rework_212/index.html</t>
  </si>
  <si>
    <t>Reservations for Two</t>
  </si>
  <si>
    <t>https://books.toscrape.com/catalogue/reservations-for-two_211/index.html</t>
  </si>
  <si>
    <t>Red: The True Story of Red Riding Hood</t>
  </si>
  <si>
    <t>https://books.toscrape.com/catalogue/red-the-true-story-of-red-riding-hood_210/index.html</t>
  </si>
  <si>
    <t>Ready Player One</t>
  </si>
  <si>
    <t>https://books.toscrape.com/catalogue/ready-player-one_209/index.html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</si>
  <si>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</si>
  <si>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</si>
  <si>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</si>
  <si>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https://books.toscrape.com/catalogue/prodigy-the-graphic-novel-legend-the-graphic-novel-2_207/index.html</t>
  </si>
  <si>
    <t>Persepolis: The Story of a Childhood (Persepolis #1-2)</t>
  </si>
  <si>
    <t>https://books.toscrape.com/catalogue/persepolis-the-story-of-a-childhood-persepolis-1-2_206/index.html</t>
  </si>
  <si>
    <t>Packing for Mars: The Curious Science of Life in the Void</t>
  </si>
  <si>
    <t>https://books.toscrape.com/catalogue/packing-for-mars-the-curious-science-of-life-in-the-void_205/index.html</t>
  </si>
  <si>
    <t>Outliers: The Story of Success</t>
  </si>
  <si>
    <t>https://books.toscrape.com/catalogue/outliers-the-story-of-success_204/index.html</t>
  </si>
  <si>
    <t>Original Fake</t>
  </si>
  <si>
    <t>https://books.toscrape.com/catalogue/original-fake_203/index.html</t>
  </si>
  <si>
    <t>Orange Is the New Black</t>
  </si>
  <si>
    <t>https://books.toscrape.com/catalogue/orange-is-the-new-black_202/index.html</t>
  </si>
  <si>
    <t>One for the Money (Stephanie Plum #1)</t>
  </si>
  <si>
    <t>https://books.toscrape.com/catalogue/one-for-the-money-stephanie-plum-1_201/index.html</t>
  </si>
  <si>
    <t>Notes from a Small Island (Notes From a Small Island #1)</t>
  </si>
  <si>
    <t>https://books.toscrape.com/catalogue/notes-from-a-small-island-notes-from-a-small-island-1_200/index.html</t>
  </si>
  <si>
    <t>Night (The Night Trilogy #1)</t>
  </si>
  <si>
    <t>https://books.toscrape.com/catalogue/night-the-night-trilogy-1_199/index.html</t>
  </si>
  <si>
    <t>Neither Here nor There: Travels in Europe</t>
  </si>
  <si>
    <t>https://books.toscrape.com/catalogue/neither-here-nor-there-travels-in-europe_198/index.html</t>
  </si>
  <si>
    <t>Naked</t>
  </si>
  <si>
    <t>https://books.toscrape.com/catalogue/naked_197/index.html</t>
  </si>
  <si>
    <t>Morning Star (Red Rising #3)</t>
  </si>
  <si>
    <t>https://books.toscrape.com/catalogue/morning-star-red-rising-3_196/index.html</t>
  </si>
  <si>
    <t>Miracles from Heaven: A Little Girl, Her Journey to Heaven, and Her Amazing Story of Healing</t>
  </si>
  <si>
    <t>https://books.toscrape.com/catalogue/miracles-from-heaven-a-little-girl-her-journey-to-heaven-and-her-amazing-story-of-healing_195/index.html</t>
  </si>
  <si>
    <t>Midnight Riot (Peter Grant/ Rivers of London - books #1)</t>
  </si>
  <si>
    <t>https://books.toscrape.com/catalogue/midnight-riot-peter-grant-rivers-of-london-books-1_194/index.html</t>
  </si>
  <si>
    <t>Me Talk Pretty One Day</t>
  </si>
  <si>
    <t>https://books.toscrape.com/catalogue/me-talk-pretty-one-day_193/index.html</t>
  </si>
  <si>
    <t>Manuscript Found in Accra</t>
  </si>
  <si>
    <t>https://books.toscrape.com/catalogue/manuscript-found-in-accra_192/index.html</t>
  </si>
  <si>
    <t>Lust &amp; Wonder</t>
  </si>
  <si>
    <t>https://books.toscrape.com/catalogue/lust-wonder_191/index.html</t>
  </si>
  <si>
    <t>Lila (Gilead #3)</t>
  </si>
  <si>
    <t>https://books.toscrape.com/catalogue/lila-gilead-3_190/index.html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</si>
  <si>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</si>
  <si>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</si>
  <si>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</si>
  <si>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https://books.toscrape.com/catalogue/life-without-a-recipe_188/index.html</t>
  </si>
  <si>
    <t>Life After Life</t>
  </si>
  <si>
    <t>https://books.toscrape.com/catalogue/life-after-life_187/index.html</t>
  </si>
  <si>
    <t>Letter to a Christian Nation</t>
  </si>
  <si>
    <t>https://books.toscrape.com/catalogue/letter-to-a-christian-nation_186/index.html</t>
  </si>
  <si>
    <t>Let's Pretend This Never Happened: A Mostly True Memoir</t>
  </si>
  <si>
    <t>https://books.toscrape.com/catalogue/lets-pretend-this-never-happened-a-mostly-true-memoir_185/index.html</t>
  </si>
  <si>
    <t>Legend (Legend #1)</t>
  </si>
  <si>
    <t>https://books.toscrape.com/catalogue/legend-legend-1_184/index.html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</si>
  <si>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</si>
  <si>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</si>
  <si>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</si>
  <si>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https://books.toscrape.com/catalogue/lamb-the-gospel-according-to-biff-christs-childhood-pal_182/index.html</t>
  </si>
  <si>
    <t>Lady Renegades (Rebel Belle #3)</t>
  </si>
  <si>
    <t>https://books.toscrape.com/catalogue/lady-renegades-rebel-belle-3_181/index.html</t>
  </si>
  <si>
    <t>Jurassic Park (Jurassic Park #1)</t>
  </si>
  <si>
    <t>https://books.toscrape.com/catalogue/jurassic-park-jurassic-park-1_180/index.html</t>
  </si>
  <si>
    <t>It's Never Too Late to Begin Again: Discovering Creativity and Meaning at Midlife and Beyond</t>
  </si>
  <si>
    <t>https://books.toscrape.com/catalogue/its-never-too-late-to-begin-again-discovering-creativity-and-meaning-at-midlife-and-beyond_179/index.html</t>
  </si>
  <si>
    <t>Is Everyone Hanging Out Without Me? (And Other Concerns)</t>
  </si>
  <si>
    <t>https://books.toscrape.com/catalogue/is-everyone-hanging-out-without-me-and-other-concerns_178/index.html</t>
  </si>
  <si>
    <t>Into the Wild</t>
  </si>
  <si>
    <t>https://books.toscrape.com/catalogue/into-the-wild_177/index.html</t>
  </si>
  <si>
    <t>Inferno (Robert Langdon #4)</t>
  </si>
  <si>
    <t>https://books.toscrape.com/catalogue/inferno-robert-langdon-4_176/index.html</t>
  </si>
  <si>
    <t>In the Garden of Beasts: Love, Terror, and an American Family in Hitler's Berlin</t>
  </si>
  <si>
    <t>https://books.toscrape.com/catalogue/in-the-garden-of-beasts-love-terror-and-an-american-family-in-hitlers-berlin_175/index.html</t>
  </si>
  <si>
    <t>If I Run (If I Run #1)</t>
  </si>
  <si>
    <t>https://books.toscrape.com/catalogue/if-i-run-if-i-run-1_174/index.html</t>
  </si>
  <si>
    <t>I've Got Your Number</t>
  </si>
  <si>
    <t>https://books.toscrape.com/catalogue/ive-got-your-number_173/index.html</t>
  </si>
  <si>
    <t>I Am Malala: The Girl Who Stood Up for Education and Was Shot by the Taliban</t>
  </si>
  <si>
    <t>https://books.toscrape.com/catalogue/i-am-malala-the-girl-who-stood-up-for-education-and-was-shot-by-the-taliban_172/index.html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</si>
  <si>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</si>
  <si>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</si>
  <si>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</si>
  <si>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https://books.toscrape.com/catalogue/house-of-lost-worlds-dinosaurs-dynasties-and-the-story-of-life-on-earth_170/index.html</t>
  </si>
  <si>
    <t>House of Leaves</t>
  </si>
  <si>
    <t>https://books.toscrape.com/catalogue/house-of-leaves_169/index.html</t>
  </si>
  <si>
    <t>Horrible Bear!</t>
  </si>
  <si>
    <t>https://books.toscrape.com/catalogue/horrible-bear_168/index.html</t>
  </si>
  <si>
    <t>Holidays on Ice</t>
  </si>
  <si>
    <t>https://books.toscrape.com/catalogue/holidays-on-ice_167/index.html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</si>
  <si>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</si>
  <si>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</si>
  <si>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</si>
  <si>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</si>
  <si>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</si>
  <si>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https://books.toscrape.com/catalogue/grayson-vol-3-nemesis-grayson-3_164/index.html</t>
  </si>
  <si>
    <t>Gratitude</t>
  </si>
  <si>
    <t>https://books.toscrape.com/catalogue/gratitude_163/index.html</t>
  </si>
  <si>
    <t>Gone Girl</t>
  </si>
  <si>
    <t>https://books.toscrape.com/catalogue/gone-girl_162/index.html</t>
  </si>
  <si>
    <t>Golden (Heart of Dread #3)</t>
  </si>
  <si>
    <t>https://books.toscrape.com/catalogue/golden-heart-of-dread-3_161/index.html</t>
  </si>
  <si>
    <t>Girl in the Blue Coat</t>
  </si>
  <si>
    <t>https://books.toscrape.com/catalogue/girl-in-the-blue-coat_160/index.html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</si>
  <si>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</si>
  <si>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</si>
  <si>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</si>
  <si>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</si>
  <si>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</si>
  <si>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https://books.toscrape.com/catalogue/fire-bound-sea-havensisters-of-the-heart-5_157/index.html</t>
  </si>
  <si>
    <t>Fifty Shades Freed (Fifty Shades #3)</t>
  </si>
  <si>
    <t>https://books.toscrape.com/catalogue/fifty-shades-freed-fifty-shades-3_156/index.html</t>
  </si>
  <si>
    <t>Fellside</t>
  </si>
  <si>
    <t>https://books.toscrape.com/catalogue/fellside_155/index.html</t>
  </si>
  <si>
    <t>Extreme Prey (Lucas Davenport #26)</t>
  </si>
  <si>
    <t>https://books.toscrape.com/catalogue/extreme-prey-lucas-davenport-26_154/index.html</t>
  </si>
  <si>
    <t>Eragon (The Inheritance Cycle #1)</t>
  </si>
  <si>
    <t>https://books.toscrape.com/catalogue/eragon-the-inheritance-cycle-1_153/index.html</t>
  </si>
  <si>
    <t>Eclipse (Twilight #3)</t>
  </si>
  <si>
    <t>https://books.toscrape.com/catalogue/eclipse-twilight-3_152/index.html</t>
  </si>
  <si>
    <t>Dune (Dune #1)</t>
  </si>
  <si>
    <t>https://books.toscrape.com/catalogue/dune-dune-1_151/index.html</t>
  </si>
  <si>
    <t>Dracula</t>
  </si>
  <si>
    <t>https://books.toscrape.com/catalogue/dracula_150/index.html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</si>
  <si>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</si>
  <si>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</si>
  <si>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</si>
  <si>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https://books.toscrape.com/catalogue/disrupted-my-misadventure-in-the-start-up-bubble_148/index.html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</si>
  <si>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</si>
  <si>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</si>
  <si>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</si>
  <si>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</si>
  <si>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</si>
  <si>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</si>
  <si>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</si>
  <si>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https://books.toscrape.com/catalogue/dark-places_144/index.html</t>
  </si>
  <si>
    <t>Crazy Rich Asians (Crazy Rich Asians #1)</t>
  </si>
  <si>
    <t>https://books.toscrape.com/catalogue/crazy-rich-asians-crazy-rich-asians-1_143/index.html</t>
  </si>
  <si>
    <t>Counting Thyme</t>
  </si>
  <si>
    <t>https://books.toscrape.com/catalogue/counting-thyme_142/index.html</t>
  </si>
  <si>
    <t>Cosmos</t>
  </si>
  <si>
    <t>https://books.toscrape.com/catalogue/cosmos_141/index.html</t>
  </si>
  <si>
    <t>Civilization and Its Discontents</t>
  </si>
  <si>
    <t>https://books.toscrape.com/catalogue/civilization-and-its-discontents_140/index.html</t>
  </si>
  <si>
    <t>Cinder (The Lunar Chronicles #1)</t>
  </si>
  <si>
    <t>https://books.toscrape.com/catalogue/cinder-the-lunar-chronicles-1_139/index.html</t>
  </si>
  <si>
    <t>Catastrophic Happiness: Finding Joy in Childhood's Messy Years</t>
  </si>
  <si>
    <t>https://books.toscrape.com/catalogue/catastrophic-happiness-finding-joy-in-childhoods-messy-years_138/index.html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</si>
  <si>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</si>
  <si>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</si>
  <si>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</si>
  <si>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</si>
  <si>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</si>
  <si>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https://books.toscrape.com/catalogue/brave-enough_135/index.html</t>
  </si>
  <si>
    <t>Boy Meets Boy</t>
  </si>
  <si>
    <t>https://books.toscrape.com/catalogue/boy-meets-boy_134/index.html</t>
  </si>
  <si>
    <t>Born to Run: A Hidden Tribe, Superathletes, and the Greatest Race the World Has Never Seen</t>
  </si>
  <si>
    <t>https://books.toscrape.com/catalogue/born-to-run-a-hidden-tribe-superathletes-and-the-greatest-race-the-world-has-never-seen_133/index.html</t>
  </si>
  <si>
    <t>Blink: The Power of Thinking Without Thinking</t>
  </si>
  <si>
    <t>https://books.toscrape.com/catalogue/blink-the-power-of-thinking-without-thinking_132/index.html</t>
  </si>
  <si>
    <t>Black Flags: The Rise of ISIS</t>
  </si>
  <si>
    <t>https://books.toscrape.com/catalogue/black-flags-the-rise-of-isis_131/index.html</t>
  </si>
  <si>
    <t>Black Butler, Vol. 1 (Black Butler #1)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</si>
  <si>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</si>
  <si>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</si>
  <si>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</si>
  <si>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</si>
  <si>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https://books.toscrape.com/catalogue/between-shades-of-gray_128/index.html</t>
  </si>
  <si>
    <t>Best of My Love (Fool's Gold #20)</t>
  </si>
  <si>
    <t>https://books.toscrape.com/catalogue/best-of-my-love-fools-gold-20_127/index.html</t>
  </si>
  <si>
    <t>Beowulf</t>
  </si>
  <si>
    <t>https://books.toscrape.com/catalogue/beowulf_126/index.html</t>
  </si>
  <si>
    <t>Beautiful Creatures (Caster Chronicles #1)</t>
  </si>
  <si>
    <t>https://books.toscrape.com/catalogue/beautiful-creatures-caster-chronicles-1_125/index.html</t>
  </si>
  <si>
    <t>Awkward</t>
  </si>
  <si>
    <t>https://books.toscrape.com/catalogue/awkward_124/index.html</t>
  </si>
  <si>
    <t>Ash</t>
  </si>
  <si>
    <t>https://books.toscrape.com/catalogue/ash_123/index.html</t>
  </si>
  <si>
    <t>Are We There Yet?</t>
  </si>
  <si>
    <t>https://books.toscrape.com/catalogue/are-we-there-yet_122/index.html</t>
  </si>
  <si>
    <t>Are We Smart Enough to Know How Smart Animals Are?</t>
  </si>
  <si>
    <t>https://books.toscrape.com/catalogue/are-we-smart-enough-to-know-how-smart-animals-are_121/index.html</t>
  </si>
  <si>
    <t>Annie on My Mind</t>
  </si>
  <si>
    <t>https://books.toscrape.com/catalogue/annie-on-my-mind_120/index.html</t>
  </si>
  <si>
    <t>And Then There Were None</t>
  </si>
  <si>
    <t>https://books.toscrape.com/catalogue/and-then-there-were-none_119/index.html</t>
  </si>
  <si>
    <t>A Walk in the Woods: Rediscovering America on the Appalachian Trail</t>
  </si>
  <si>
    <t>https://books.toscrape.com/catalogue/a-walk-in-the-woods-rediscovering-america-on-the-appalachian-trail_118/index.html</t>
  </si>
  <si>
    <t>A Visit from the Goon Squad</t>
  </si>
  <si>
    <t>https://books.toscrape.com/catalogue/a-visit-from-the-goon-squad_117/index.html</t>
  </si>
  <si>
    <t>A Storm of Swords (A Song of Ice and Fire #3)</t>
  </si>
  <si>
    <t>https://books.toscrape.com/catalogue/a-storm-of-swords-a-song-of-ice-and-fire-3_116/index.html</t>
  </si>
  <si>
    <t>A Heartbreaking Work of Staggering Genius</t>
  </si>
  <si>
    <t>https://books.toscrape.com/catalogue/a-heartbreaking-work-of-staggering-genius_115/index.html</t>
  </si>
  <si>
    <t>8 Keys to Mental Health Through Exercise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</si>
  <si>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</si>
  <si>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</si>
  <si>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</si>
  <si>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</si>
  <si>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</si>
  <si>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</si>
  <si>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https://books.toscrape.com/catalogue/the-sense-of-an-ending_111/index.html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</si>
  <si>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</si>
  <si>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</si>
  <si>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</si>
  <si>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https://books.toscrape.com/catalogue/the-course-of-love_109/index.html</t>
  </si>
  <si>
    <t>Sugar Rush (Offensive Line #2)</t>
  </si>
  <si>
    <t>https://books.toscrape.com/catalogue/sugar-rush-offensive-line-2_108/index.html</t>
  </si>
  <si>
    <t>Saga, Volume 2 (Saga (Collected Editions) #2)</t>
  </si>
  <si>
    <t>https://books.toscrape.com/catalogue/saga-volume-2-saga-collected-editions-2_107/index.html</t>
  </si>
  <si>
    <t>Run, Spot, Run: The Ethics of Keeping Pets</t>
  </si>
  <si>
    <t>https://books.toscrape.com/catalogue/run-spot-run-the-ethics-of-keeping-pets_106/index.html</t>
  </si>
  <si>
    <t>New Moon (Twilight #2)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</si>
  <si>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</si>
  <si>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</si>
  <si>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</si>
  <si>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</si>
  <si>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https://books.toscrape.com/catalogue/kindle-paperwhite-users-guide_103/index.html</t>
  </si>
  <si>
    <t>H is for Hawk</t>
  </si>
  <si>
    <t>https://books.toscrape.com/catalogue/h-is-for-hawk_102/index.html</t>
  </si>
  <si>
    <t>Girl Online On Tour (Girl Online #2)</t>
  </si>
  <si>
    <t>https://books.toscrape.com/catalogue/girl-online-on-tour-girl-online-2_101/index.html</t>
  </si>
  <si>
    <t>Fruits Basket, Vol. 2 (Fruits Basket #2)</t>
  </si>
  <si>
    <t>https://books.toscrape.com/catalogue/fruits-basket-vol-2-fruits-basket-2_100/index.html</t>
  </si>
  <si>
    <t>Diary of a Minecraft Zombie Book 1: A Scare of a Dare (An Unofficial Minecraft Book)</t>
  </si>
  <si>
    <t>https://books.toscrape.com/catalogue/diary-of-a-minecraft-zombie-book-1-a-scare-of-a-dare-an-unofficial-minecraft-book_99/index.html</t>
  </si>
  <si>
    <t>Y: The Last Man, Vol. 1: Unmanned (Y: The Last Man #1)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</si>
  <si>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</si>
  <si>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</si>
  <si>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</si>
  <si>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Stars #3)</t>
  </si>
  <si>
    <t>https://books.toscrape.com/catalogue/where-lightning-strikes-bleeding-stars-3_96/index.html</t>
  </si>
  <si>
    <t>When I'm Gone</t>
  </si>
  <si>
    <t>https://books.toscrape.com/catalogue/when-im-gone_95/index.html</t>
  </si>
  <si>
    <t>Ways of Seeing</t>
  </si>
  <si>
    <t>https://books.toscrape.com/catalogue/ways-of-seeing_94/index.html</t>
  </si>
  <si>
    <t>Vampire Knight, Vol. 1 (Vampire Knight #1)</t>
  </si>
  <si>
    <t>https://books.toscrape.com/catalogue/vampire-knight-vol-1-vampire-knight-1_93/index.html</t>
  </si>
  <si>
    <t>Vampire Girl (Vampire Girl #1)</t>
  </si>
  <si>
    <t>https://books.toscrape.com/catalogue/vampire-girl-vampire-girl-1_92/index.html</t>
  </si>
  <si>
    <t>Twenty Love Poems and a Song of Despair</t>
  </si>
  <si>
    <t>https://books.toscrape.com/catalogue/twenty-love-poems-and-a-song-of-despair_91/index.html</t>
  </si>
  <si>
    <t>Travels with Charley: In Search of America</t>
  </si>
  <si>
    <t>https://books.toscrape.com/catalogue/travels-with-charley-in-search-of-america_90/index.html</t>
  </si>
  <si>
    <t>Three Wishes (River of Time: California #1)</t>
  </si>
  <si>
    <t>https://books.toscrape.com/catalogue/three-wishes-river-of-time-california-1_89/index.html</t>
  </si>
  <si>
    <t>This One Moment (Pushing Limits #1)</t>
  </si>
  <si>
    <t>https://books.toscrape.com/catalogue/this-one-moment-pushing-limits-1_88/index.html</t>
  </si>
  <si>
    <t>The Zombie Room</t>
  </si>
  <si>
    <t>https://books.toscrape.com/catalogue/the-zombie-room_87/index.html</t>
  </si>
  <si>
    <t>The Wicked + The Divine, Vol. 1: The Faust Act (The Wicked + The Divine)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</si>
  <si>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</si>
  <si>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</si>
  <si>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</si>
  <si>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Gildong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</si>
  <si>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</si>
  <si>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</si>
  <si>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</si>
  <si>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Jennifer Knight #3)</t>
  </si>
  <si>
    <t>https://books.toscrape.com/catalogue/the-silent-twin-detective-jennifer-knight-3_82/index.html</t>
  </si>
  <si>
    <t>The Selfish Gene</t>
  </si>
  <si>
    <t>https://books.toscrape.com/catalogue/the-selfish-gene_81/index.html</t>
  </si>
  <si>
    <t>The Secret Healer</t>
  </si>
  <si>
    <t>https://books.toscrape.com/catalogue/the-secret-healer_80/index.html</t>
  </si>
  <si>
    <t>The Sandman, Vol. 1: Preludes and Nocturnes (The Sandman (volumes) #1)</t>
  </si>
  <si>
    <t>https://books.toscrape.com/catalogue/the-sandman-vol-1-preludes-and-nocturnes-the-sandman-volumes-1_79/index.html</t>
  </si>
  <si>
    <t>The Republic</t>
  </si>
  <si>
    <t>https://books.toscrape.com/catalogue/the-republic_78/index.html</t>
  </si>
  <si>
    <t>The Odyssey</t>
  </si>
  <si>
    <t>https://books.toscrape.com/catalogue/the-odyssey_77/index.html</t>
  </si>
  <si>
    <t>The No. 1 Ladies' Detective Agency (No. 1 Ladies' Detective Agency #1)</t>
  </si>
  <si>
    <t>https://books.toscrape.com/catalogue/the-no-1-ladies-detective-agency-no-1-ladies-detective-agency-1_76/index.html</t>
  </si>
  <si>
    <t>The Nicomachean Ethics</t>
  </si>
  <si>
    <t>https://books.toscrape.com/catalogue/the-nicomachean-ethics_75/index.html</t>
  </si>
  <si>
    <t>The Name of the Wind (The Kingkiller Chronicle #1)</t>
  </si>
  <si>
    <t>https://books.toscrape.com/catalogue/the-name-of-the-wind-the-kingkiller-chronicle-1_74/index.html</t>
  </si>
  <si>
    <t>The Mirror &amp; the Maze (The Wrath and the Dawn #1.5)</t>
  </si>
  <si>
    <t>https://books.toscrape.com/catalogue/the-mirror-the-maze-the-wrath-and-the-dawn-15_73/index.html</t>
  </si>
  <si>
    <t>The Little Prince</t>
  </si>
  <si>
    <t>https://books.toscrape.com/catalogue/the-little-prince_72/index.html</t>
  </si>
  <si>
    <t>The Light of the Fireflies</t>
  </si>
  <si>
    <t>https://books.toscrape.com/catalogue/the-light-of-the-fireflies_71/index.html</t>
  </si>
  <si>
    <t>The Last Girl (The Dominion Trilogy #1)</t>
  </si>
  <si>
    <t>https://books.toscrape.com/catalogue/the-last-girl-the-dominion-trilogy-1_70/index.html</t>
  </si>
  <si>
    <t>The Iliad</t>
  </si>
  <si>
    <t>https://books.toscrape.com/catalogue/the-iliad_69/index.html</t>
  </si>
  <si>
    <t>The Hook Up (Game On #1)</t>
  </si>
  <si>
    <t>https://books.toscrape.com/catalogue/the-hook-up-game-on-1_68/index.html</t>
  </si>
  <si>
    <t>The Haters</t>
  </si>
  <si>
    <t>https://books.toscrape.com/catalogue/the-haters_67/index.html</t>
  </si>
  <si>
    <t>The Girl You Lost</t>
  </si>
  <si>
    <t>https://books.toscrape.com/catalogue/the-girl-you-lost_66/index.html</t>
  </si>
  <si>
    <t>The Girl In The Ice (DCI Erika Foster #1)</t>
  </si>
  <si>
    <t>https://books.toscrape.com/catalogue/the-girl-in-the-ice-dci-erika-foster-1_65/index.html</t>
  </si>
  <si>
    <t>The End of the Jesus Era (An Investigation #1)</t>
  </si>
  <si>
    <t>https://books.toscrape.com/catalogue/the-end-of-the-jesus-era-an-investigation-1_64/index.html</t>
  </si>
  <si>
    <t>The Edge of Reason (Bridget Jones #2)</t>
  </si>
  <si>
    <t>https://books.toscrape.com/catalogue/the-edge-of-reason-bridget-jones-2_63/index.html</t>
  </si>
  <si>
    <t>The Complete Maus (Maus #1-2)</t>
  </si>
  <si>
    <t>https://books.toscrape.com/catalogue/the-complete-maus-maus-1-2_62/index.html</t>
  </si>
  <si>
    <t>The Communist Manifesto</t>
  </si>
  <si>
    <t>https://books.toscrape.com/catalogue/the-communist-manifesto_61/index.html</t>
  </si>
  <si>
    <t>The Bhagavad Gita</t>
  </si>
  <si>
    <t>https://books.toscrape.com/catalogue/the-bhagavad-gita_60/index.html</t>
  </si>
  <si>
    <t>The Bette Davis Club</t>
  </si>
  <si>
    <t>https://books.toscrape.com/catalogue/the-bette-davis-club_59/index.html</t>
  </si>
  <si>
    <t>The Art of Not Breathing</t>
  </si>
  <si>
    <t>https://books.toscrape.com/catalogue/the-art-of-not-breathing_58/index.html</t>
  </si>
  <si>
    <t>Taking Shots (Assassins #1)</t>
  </si>
  <si>
    <t>https://books.toscrape.com/catalogue/taking-shots-assassins-1_57/index.html</t>
  </si>
  <si>
    <t>Starlark</t>
  </si>
  <si>
    <t>https://books.toscrape.com/catalogue/starlark_56/index.html</t>
  </si>
  <si>
    <t>Skip Beat!, Vol. 01 (Skip Beat! #1)</t>
  </si>
  <si>
    <t>https://books.toscrape.com/catalogue/skip-beat-vol-01-skip-beat-1_55/index.html</t>
  </si>
  <si>
    <t>Sister Sable (The Mad Queen #1)</t>
  </si>
  <si>
    <t>https://books.toscrape.com/catalogue/sister-sable-the-mad-queen-1_54/index.html</t>
  </si>
  <si>
    <t>Shatter Me (Shatter Me #1)</t>
  </si>
  <si>
    <t>https://books.toscrape.com/catalogue/shatter-me-shatter-me-1_53/index.html</t>
  </si>
  <si>
    <t>Shameless</t>
  </si>
  <si>
    <t>https://books.toscrape.com/catalogue/shameless_52/index.html</t>
  </si>
  <si>
    <t>Shadow Rites (Jane Yellowrock #10)</t>
  </si>
  <si>
    <t>https://books.toscrape.com/catalogue/shadow-rites-jane-yellowrock-10_51/index.html</t>
  </si>
  <si>
    <t>Settling the Score (The Summer Games #1)</t>
  </si>
  <si>
    <t>https://books.toscrape.com/catalogue/settling-the-score-the-summer-games-1_50/index.html</t>
  </si>
  <si>
    <t>Sense and Sensibility</t>
  </si>
  <si>
    <t>https://books.toscrape.com/catalogue/sense-and-sensibility_49/index.html</t>
  </si>
  <si>
    <t>Saga, Volume 1 (Saga (Collected Editions) #1)</t>
  </si>
  <si>
    <t>https://books.toscrape.com/catalogue/saga-volume-1-saga-collected-editions-1_48/index.html</t>
  </si>
  <si>
    <t>Rhythm, Chord &amp; Malykhin</t>
  </si>
  <si>
    <t>https://books.toscrape.com/catalogue/rhythm-chord-malykhin_47/index.html</t>
  </si>
  <si>
    <t>Rat Queens, Vol. 1: Sass &amp; Sorcery (Rat Queens (Collected Editions) #1-5)</t>
  </si>
  <si>
    <t>https://books.toscrape.com/catalogue/rat-queens-vol-1-sass-sorcery-rat-queens-collected-editions-1-5_46/index.html</t>
  </si>
  <si>
    <t>Paradise Lost (Paradise #1)</t>
  </si>
  <si>
    <t>https://books.toscrape.com/catalogue/paradise-lost-paradise-1_45/index.html</t>
  </si>
  <si>
    <t>Paper Girls, Vol. 1 (Paper Girls #1-5)</t>
  </si>
  <si>
    <t>https://books.toscrape.com/catalogue/paper-girls-vol-1-paper-girls-1-5_44/index.html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</si>
  <si>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</si>
  <si>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</si>
  <si>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</si>
  <si>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https://books.toscrape.com/catalogue/origins-alphas-05_42/index.html</t>
  </si>
  <si>
    <t>One Second (Seven #7)</t>
  </si>
  <si>
    <t>https://books.toscrape.com/catalogue/one-second-seven-7_41/index.html</t>
  </si>
  <si>
    <t>On the Road (Duluoz Legend)</t>
  </si>
  <si>
    <t>https://books.toscrape.com/catalogue/on-the-road-duluoz-legend_40/index.html</t>
  </si>
  <si>
    <t>Old Records Never Die: One Man's Quest for His Vinyl and His Past</t>
  </si>
  <si>
    <t>https://books.toscrape.com/catalogue/old-records-never-die-one-mans-quest-for-his-vinyl-and-his-past_39/index.html</t>
  </si>
  <si>
    <t>Off Sides (Off #1)</t>
  </si>
  <si>
    <t>https://books.toscrape.com/catalogue/off-sides-off-1_38/index.html</t>
  </si>
  <si>
    <t>Of Mice and Men</t>
  </si>
  <si>
    <t>https://books.toscrape.com/catalogue/of-mice-and-men_37/index.html</t>
  </si>
  <si>
    <t>Myriad (Prentor #1)</t>
  </si>
  <si>
    <t>https://books.toscrape.com/catalogue/myriad-prentor-1_36/index.html</t>
  </si>
  <si>
    <t>My Perfect Mistake (Over the Top #1)</t>
  </si>
  <si>
    <t>https://books.toscrape.com/catalogue/my-perfect-mistake-over-the-top-1_35/index.html</t>
  </si>
  <si>
    <t>Ms. Marvel, Vol. 1: No Normal (Ms. Marvel (2014-2015) #1)</t>
  </si>
  <si>
    <t>https://books.toscrape.com/catalogue/ms-marvel-vol-1-no-normal-ms-marvel-2014-2015-1_34/index.html</t>
  </si>
  <si>
    <t>Meditations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</si>
  <si>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</si>
  <si>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</si>
  <si>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</si>
  <si>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</si>
  <si>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https://books.toscrape.com/catalogue/lost-among-the-living_31/index.html</t>
  </si>
  <si>
    <t>Lord of the Flies</t>
  </si>
  <si>
    <t>https://books.toscrape.com/catalogue/lord-of-the-flies_30/index.html</t>
  </si>
  <si>
    <t>Listen to Me (Fusion #1)</t>
  </si>
  <si>
    <t>https://books.toscrape.com/catalogue/listen-to-me-fusion-1_29/index.html</t>
  </si>
  <si>
    <t>Kitchens of the Great Midwest</t>
  </si>
  <si>
    <t>https://books.toscrape.com/catalogue/kitchens-of-the-great-midwest_28/index.html</t>
  </si>
  <si>
    <t>Jane Eyre</t>
  </si>
  <si>
    <t>https://books.toscrape.com/catalogue/jane-eyre_27/index.html</t>
  </si>
  <si>
    <t>Imperfect Harmony</t>
  </si>
  <si>
    <t>https://books.toscrape.com/catalogue/imperfect-harmony_26/index.html</t>
  </si>
  <si>
    <t>Icing (Aces Hockey #2)</t>
  </si>
  <si>
    <t>https://books.toscrape.com/catalogue/icing-aces-hockey-2_25/index.html</t>
  </si>
  <si>
    <t>Hawkeye, Vol. 1: My Life as a Weapon (Hawkeye #1)</t>
  </si>
  <si>
    <t>https://books.toscrape.com/catalogue/hawkeye-vol-1-my-life-as-a-weapon-hawkeye-1_24/index.html</t>
  </si>
  <si>
    <t>Having the Barbarian's Baby (Ice Planet Barbarians #7.5)</t>
  </si>
  <si>
    <t>https://books.toscrape.com/catalogue/having-the-barbarians-baby-ice-planet-barbarians-75_23/index.html</t>
  </si>
  <si>
    <t>Giant Days, Vol. 1 (Giant Days #1-4)</t>
  </si>
  <si>
    <t>https://books.toscrape.com/catalogue/giant-days-vol-1-giant-days-1-4_22/index.html</t>
  </si>
  <si>
    <t>Fruits Basket, Vol. 1 (Fruits Basket #1)</t>
  </si>
  <si>
    <t>https://books.toscrape.com/catalogue/fruits-basket-vol-1-fruits-basket-1_21/index.html</t>
  </si>
  <si>
    <t>Frankenstein</t>
  </si>
  <si>
    <t>https://books.toscrape.com/catalogue/frankenstein_20/index.html</t>
  </si>
  <si>
    <t>Forever Rockers (The Rocker #12)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</si>
  <si>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</si>
  <si>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</si>
  <si>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</si>
  <si>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</si>
  <si>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https://books.toscrape.com/catalogue/emma_17/index.html</t>
  </si>
  <si>
    <t>Eat, Pray, Love</t>
  </si>
  <si>
    <t>https://books.toscrape.com/catalogue/eat-pray-love_16/index.html</t>
  </si>
  <si>
    <t>Deep Under (Walker Security #1)</t>
  </si>
  <si>
    <t>https://books.toscrape.com/catalogue/deep-under-walker-security-1_15/index.html</t>
  </si>
  <si>
    <t>Choosing Our Religion: The Spiritual Lives of America's Nones</t>
  </si>
  <si>
    <t>https://books.toscrape.com/catalogue/choosing-our-religion-the-spiritual-lives-of-americas-nones_14/index.html</t>
  </si>
  <si>
    <t>Charlie and the Chocolate Factory (Charlie Bucket #1)</t>
  </si>
  <si>
    <t>https://books.toscrape.com/catalogue/charlie-and-the-chocolate-factory-charlie-bucket-1_13/index.html</t>
  </si>
  <si>
    <t>Charity's Cross (Charles Towne Belles #4)</t>
  </si>
  <si>
    <t>https://books.toscrape.com/catalogue/charitys-cross-charles-towne-belles-4_12/index.html</t>
  </si>
  <si>
    <t>Bright Lines</t>
  </si>
  <si>
    <t>https://books.toscrape.com/catalogue/bright-lines_11/index.html</t>
  </si>
  <si>
    <t>Bridget Jones's Diary (Bridget Jones #1)</t>
  </si>
  <si>
    <t>https://books.toscrape.com/catalogue/bridget-joness-diary-bridget-jones-1_10/index.html</t>
  </si>
  <si>
    <t>Bounty (Colorado Mountain #7)</t>
  </si>
  <si>
    <t>https://books.toscrape.com/catalogue/bounty-colorado-mountain-7_9/index.html</t>
  </si>
  <si>
    <t>Blood Defense (Samantha Brinkman #1)</t>
  </si>
  <si>
    <t>https://books.toscrape.com/catalogue/blood-defense-samantha-brinkman-1_8/index.html</t>
  </si>
  <si>
    <t>Bleach, Vol. 1: Strawberry and the Soul Reapers (Bleach #1)</t>
  </si>
  <si>
    <t>https://books.toscrape.com/catalogue/bleach-vol-1-strawberry-and-the-soul-reapers-bleach-1_7/index.html</t>
  </si>
  <si>
    <t>Beyond Good and Evil</t>
  </si>
  <si>
    <t>https://books.toscrape.com/catalogue/beyond-good-and-evil_6/index.html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</si>
  <si>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</si>
  <si>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</si>
  <si>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</si>
  <si>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https://books.toscrape.com/catalogue/ajin-demi-human-volume-1-ajin-demi-human-1_4/index.html</t>
  </si>
  <si>
    <t>A Spy's Devotion (The Regency Spies of London #1)</t>
  </si>
  <si>
    <t>https://books.toscrape.com/catalogue/a-spys-devotion-the-regency-spies-of-london-1_3/index.html</t>
  </si>
  <si>
    <t>1st to Die (Women's Murder Club #1)</t>
  </si>
  <si>
    <t>https://books.toscrape.com/catalogue/1st-to-die-womens-murder-club-1_2/index.html</t>
  </si>
  <si>
    <t>1,000 Places to See Before You Die</t>
  </si>
  <si>
    <t>https://books.toscrape.com/catalogue/1000-places-to-see-before-you-die_1/index.html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</si>
</sst>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6" fillId="0" borderId="0" xfId="0" applyFont="1" applyAlignment="1"/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in!$U$31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in!$U$32:$U$36</c:f>
              <c:numCache>
                <c:formatCode>General</c:formatCode>
                <c:ptCount val="5"/>
                <c:pt idx="0">
                  <c:v>226</c:v>
                </c:pt>
                <c:pt idx="1">
                  <c:v>196</c:v>
                </c:pt>
                <c:pt idx="2">
                  <c:v>203</c:v>
                </c:pt>
                <c:pt idx="3">
                  <c:v>179</c:v>
                </c:pt>
                <c:pt idx="4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8-4882-B354-6FCC09488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38248"/>
        <c:axId val="54544904"/>
      </c:barChart>
      <c:catAx>
        <c:axId val="54538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4904"/>
        <c:crosses val="autoZero"/>
        <c:auto val="1"/>
        <c:lblAlgn val="ctr"/>
        <c:lblOffset val="100"/>
        <c:noMultiLvlLbl val="0"/>
      </c:catAx>
      <c:valAx>
        <c:axId val="545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Availability  Analysis</a:t>
            </a:r>
          </a:p>
        </c:rich>
      </c:tx>
      <c:layout>
        <c:manualLayout>
          <c:xMode val="edge"/>
          <c:yMode val="edge"/>
          <c:x val="0.33476853291353109"/>
          <c:y val="5.6819863865012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in!$U$54:$U$55</c:f>
              <c:numCache>
                <c:formatCode>General</c:formatCode>
                <c:ptCount val="2"/>
                <c:pt idx="0">
                  <c:v>1000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F-463B-9894-E7FDBC2E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114300</xdr:colOff>
      <xdr:row>36</xdr:row>
      <xdr:rowOff>114300</xdr:rowOff>
    </xdr:from>
    <xdr:to>
      <xdr:col>20</xdr:col>
      <xdr:colOff>2381250</xdr:colOff>
      <xdr:row>47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8FB63-3F56-5EA3-F016-3F01E69E5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28575</xdr:colOff>
      <xdr:row>55</xdr:row>
      <xdr:rowOff>133350</xdr:rowOff>
    </xdr:from>
    <xdr:to>
      <xdr:col>22</xdr:col>
      <xdr:colOff>114300</xdr:colOff>
      <xdr:row>63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B7AF21-4DDB-67C6-3291-D086CA11CB0D}"/>
            </a:ext>
            <a:ext uri="{147F2762-F138-4A5C-976F-8EAC2B608ADB}">
              <a16:predDERef xmlns:a16="http://schemas.microsoft.com/office/drawing/2014/main" pred="{8128FB63-3F56-5EA3-F016-3F01E69E5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D91A-1A97-4C27-B878-4D52CD843868}">
  <dimension ref="A1:Z1001"/>
  <sheetViews>
    <sheetView tabSelected="1" topLeftCell="E1" workbookViewId="0">
      <selection activeCell="Q6" sqref="Q6"/>
    </sheetView>
  </sheetViews>
  <sheetFormatPr defaultRowHeight="15"/>
  <cols>
    <col min="14" max="14" width="20" bestFit="1" customWidth="1"/>
    <col min="16" max="16" width="11.5703125" bestFit="1" customWidth="1"/>
    <col min="17" max="17" width="22.85546875" bestFit="1" customWidth="1"/>
    <col min="20" max="20" width="28" customWidth="1"/>
    <col min="21" max="21" width="36.5703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T1" s="3" t="s">
        <v>5</v>
      </c>
    </row>
    <row r="2" spans="1:26">
      <c r="A2" t="s">
        <v>6</v>
      </c>
      <c r="B2">
        <v>51.77</v>
      </c>
      <c r="C2" t="s">
        <v>7</v>
      </c>
      <c r="D2">
        <v>3</v>
      </c>
      <c r="E2" t="s">
        <v>8</v>
      </c>
      <c r="N2" s="4" t="s">
        <v>9</v>
      </c>
      <c r="T2" t="s">
        <v>0</v>
      </c>
      <c r="U2">
        <f>COUNTBLANK(A2:A1001)</f>
        <v>0</v>
      </c>
      <c r="Z2" t="str">
        <f>IF(OR(B2&lt;$U$13, B2&gt;$U$14),"Outlier","Normal")</f>
        <v>Normal</v>
      </c>
    </row>
    <row r="3" spans="1:26">
      <c r="A3" t="s">
        <v>10</v>
      </c>
      <c r="B3">
        <v>53.74</v>
      </c>
      <c r="C3" t="s">
        <v>7</v>
      </c>
      <c r="D3">
        <v>1</v>
      </c>
      <c r="E3" t="s">
        <v>11</v>
      </c>
      <c r="N3" t="s">
        <v>12</v>
      </c>
      <c r="O3">
        <f>COUNTA(A2:A1001)</f>
        <v>1000</v>
      </c>
      <c r="P3" t="s">
        <v>13</v>
      </c>
      <c r="Q3">
        <f>COUNTIF(C2:C1001,"In stock")</f>
        <v>1000</v>
      </c>
      <c r="T3" t="s">
        <v>14</v>
      </c>
      <c r="U3">
        <f>COUNTBLANK(B2:B1001)</f>
        <v>0</v>
      </c>
      <c r="Z3" t="str">
        <f>IF(OR(B3&lt;$U$13, B3&gt;$U$14),"Outlier","Normal")</f>
        <v>Normal</v>
      </c>
    </row>
    <row r="4" spans="1:26">
      <c r="A4" t="s">
        <v>15</v>
      </c>
      <c r="B4">
        <v>50.1</v>
      </c>
      <c r="C4" t="s">
        <v>7</v>
      </c>
      <c r="D4">
        <v>1</v>
      </c>
      <c r="E4" t="s">
        <v>16</v>
      </c>
      <c r="N4" t="s">
        <v>17</v>
      </c>
      <c r="O4">
        <f>MIN(B2:B1001)</f>
        <v>10</v>
      </c>
      <c r="P4" t="s">
        <v>18</v>
      </c>
      <c r="Q4">
        <f>COUNTIF(C2:C1001,"Out of stock")</f>
        <v>0</v>
      </c>
      <c r="T4" t="s">
        <v>2</v>
      </c>
      <c r="U4">
        <f>COUNTBLANK(C2:C1001)</f>
        <v>0</v>
      </c>
      <c r="Z4" t="str">
        <f>IF(OR(B4&lt;$U$13, B4&gt;$U$14),"Outlier","Normal")</f>
        <v>Normal</v>
      </c>
    </row>
    <row r="5" spans="1:26">
      <c r="A5" t="s">
        <v>19</v>
      </c>
      <c r="B5">
        <v>47.82</v>
      </c>
      <c r="C5" t="s">
        <v>7</v>
      </c>
      <c r="D5">
        <v>4</v>
      </c>
      <c r="E5" t="s">
        <v>20</v>
      </c>
      <c r="N5" t="s">
        <v>21</v>
      </c>
      <c r="O5">
        <f>MAX(B2:B1001)</f>
        <v>59.99</v>
      </c>
      <c r="P5" t="s">
        <v>22</v>
      </c>
      <c r="Q5" t="s">
        <v>23</v>
      </c>
      <c r="T5" t="s">
        <v>22</v>
      </c>
      <c r="U5">
        <f>COUNTBLANK(D2:D1001)</f>
        <v>0</v>
      </c>
      <c r="Z5" t="str">
        <f>IF(OR(B5&lt;$U$13, B5&gt;$U$14),"Outlier","Normal")</f>
        <v>Normal</v>
      </c>
    </row>
    <row r="6" spans="1:26">
      <c r="A6" t="s">
        <v>24</v>
      </c>
      <c r="B6">
        <v>54.23</v>
      </c>
      <c r="C6" t="s">
        <v>7</v>
      </c>
      <c r="D6">
        <v>5</v>
      </c>
      <c r="E6" t="s">
        <v>25</v>
      </c>
      <c r="N6" t="s">
        <v>26</v>
      </c>
      <c r="O6">
        <f>AVERAGE(B2:B1001)</f>
        <v>35.070349999999991</v>
      </c>
      <c r="T6" s="4" t="s">
        <v>27</v>
      </c>
      <c r="Z6" t="str">
        <f>IF(OR(B6&lt;$U$13, B6&gt;$U$14),"Outlier","Normal")</f>
        <v>Normal</v>
      </c>
    </row>
    <row r="7" spans="1:26">
      <c r="A7" t="s">
        <v>28</v>
      </c>
      <c r="B7">
        <v>22.65</v>
      </c>
      <c r="C7" t="s">
        <v>7</v>
      </c>
      <c r="D7">
        <v>1</v>
      </c>
      <c r="E7" t="s">
        <v>29</v>
      </c>
      <c r="Z7" t="str">
        <f>IF(OR(B7&lt;$U$13, B7&gt;$U$14),"Outlier","Normal")</f>
        <v>Normal</v>
      </c>
    </row>
    <row r="8" spans="1:26">
      <c r="A8" t="s">
        <v>30</v>
      </c>
      <c r="B8">
        <v>33.340000000000003</v>
      </c>
      <c r="C8" t="s">
        <v>7</v>
      </c>
      <c r="D8">
        <v>4</v>
      </c>
      <c r="E8" t="s">
        <v>31</v>
      </c>
      <c r="Z8" t="str">
        <f t="shared" ref="Z8:Z71" si="0">IF(OR(B8&lt;$U$13, B8&gt;$U$14),"Outlier","Normal")</f>
        <v>Normal</v>
      </c>
    </row>
    <row r="9" spans="1:26">
      <c r="A9" t="s">
        <v>32</v>
      </c>
      <c r="B9">
        <v>17.93</v>
      </c>
      <c r="C9" t="s">
        <v>7</v>
      </c>
      <c r="D9">
        <v>3</v>
      </c>
      <c r="E9" t="s">
        <v>33</v>
      </c>
      <c r="T9" s="4" t="s">
        <v>34</v>
      </c>
      <c r="Z9" t="str">
        <f t="shared" si="0"/>
        <v>Normal</v>
      </c>
    </row>
    <row r="10" spans="1:26">
      <c r="A10" t="s">
        <v>35</v>
      </c>
      <c r="B10">
        <v>22.6</v>
      </c>
      <c r="C10" t="s">
        <v>7</v>
      </c>
      <c r="D10">
        <v>4</v>
      </c>
      <c r="E10" t="s">
        <v>36</v>
      </c>
      <c r="T10" t="s">
        <v>37</v>
      </c>
      <c r="U10">
        <f>_xlfn.QUARTILE.INC(B2:B1001,1)</f>
        <v>22.107500000000002</v>
      </c>
      <c r="Z10" t="str">
        <f t="shared" si="0"/>
        <v>Normal</v>
      </c>
    </row>
    <row r="11" spans="1:26">
      <c r="A11" t="s">
        <v>38</v>
      </c>
      <c r="B11">
        <v>52.15</v>
      </c>
      <c r="C11" t="s">
        <v>7</v>
      </c>
      <c r="D11">
        <v>1</v>
      </c>
      <c r="E11" t="s">
        <v>39</v>
      </c>
      <c r="T11" s="2" t="s">
        <v>40</v>
      </c>
      <c r="U11">
        <f>_xlfn.QUARTILE.INC(B2:B1001,3)</f>
        <v>47.457499999999996</v>
      </c>
      <c r="Z11" t="str">
        <f t="shared" si="0"/>
        <v>Normal</v>
      </c>
    </row>
    <row r="12" spans="1:26">
      <c r="A12" t="s">
        <v>41</v>
      </c>
      <c r="B12">
        <v>13.99</v>
      </c>
      <c r="C12" t="s">
        <v>7</v>
      </c>
      <c r="D12">
        <v>2</v>
      </c>
      <c r="E12" t="s">
        <v>42</v>
      </c>
      <c r="T12" t="s">
        <v>43</v>
      </c>
      <c r="U12">
        <f>U11-U10</f>
        <v>25.349999999999994</v>
      </c>
      <c r="Z12" t="str">
        <f t="shared" si="0"/>
        <v>Normal</v>
      </c>
    </row>
    <row r="13" spans="1:26">
      <c r="A13" t="s">
        <v>44</v>
      </c>
      <c r="B13">
        <v>20.66</v>
      </c>
      <c r="C13" t="s">
        <v>7</v>
      </c>
      <c r="D13">
        <v>4</v>
      </c>
      <c r="E13" t="s">
        <v>45</v>
      </c>
      <c r="T13" t="s">
        <v>46</v>
      </c>
      <c r="U13">
        <f>U10 - 1.5 * U12</f>
        <v>-15.91749999999999</v>
      </c>
      <c r="Z13" t="str">
        <f t="shared" si="0"/>
        <v>Normal</v>
      </c>
    </row>
    <row r="14" spans="1:26">
      <c r="A14" t="s">
        <v>47</v>
      </c>
      <c r="B14">
        <v>17.46</v>
      </c>
      <c r="C14" t="s">
        <v>7</v>
      </c>
      <c r="D14">
        <v>5</v>
      </c>
      <c r="E14" t="s">
        <v>48</v>
      </c>
      <c r="T14" t="s">
        <v>49</v>
      </c>
      <c r="U14">
        <f>U11 + 1.5 * U12</f>
        <v>85.482499999999987</v>
      </c>
      <c r="Z14" t="str">
        <f t="shared" si="0"/>
        <v>Normal</v>
      </c>
    </row>
    <row r="15" spans="1:26">
      <c r="A15" t="s">
        <v>50</v>
      </c>
      <c r="B15">
        <v>52.29</v>
      </c>
      <c r="C15" t="s">
        <v>7</v>
      </c>
      <c r="D15">
        <v>5</v>
      </c>
      <c r="E15" t="s">
        <v>51</v>
      </c>
      <c r="T15" s="4" t="s">
        <v>52</v>
      </c>
      <c r="U15" s="4">
        <f>COUNTIF(Z2:Z1001,"Outlier")</f>
        <v>0</v>
      </c>
      <c r="Z15" t="str">
        <f t="shared" si="0"/>
        <v>Normal</v>
      </c>
    </row>
    <row r="16" spans="1:26">
      <c r="A16" t="s">
        <v>53</v>
      </c>
      <c r="B16">
        <v>35.020000000000003</v>
      </c>
      <c r="C16" t="s">
        <v>7</v>
      </c>
      <c r="D16">
        <v>5</v>
      </c>
      <c r="E16" t="s">
        <v>54</v>
      </c>
      <c r="Z16" t="str">
        <f t="shared" si="0"/>
        <v>Normal</v>
      </c>
    </row>
    <row r="17" spans="1:26" ht="30.75">
      <c r="A17" t="s">
        <v>55</v>
      </c>
      <c r="B17">
        <v>57.25</v>
      </c>
      <c r="C17" t="s">
        <v>7</v>
      </c>
      <c r="D17">
        <v>3</v>
      </c>
      <c r="E17" t="s">
        <v>56</v>
      </c>
      <c r="T17" s="4" t="s">
        <v>57</v>
      </c>
      <c r="U17" s="5" t="s">
        <v>58</v>
      </c>
      <c r="Z17" t="str">
        <f t="shared" si="0"/>
        <v>Normal</v>
      </c>
    </row>
    <row r="18" spans="1:26">
      <c r="A18" t="s">
        <v>59</v>
      </c>
      <c r="B18">
        <v>23.88</v>
      </c>
      <c r="C18" t="s">
        <v>7</v>
      </c>
      <c r="D18">
        <v>1</v>
      </c>
      <c r="E18" t="s">
        <v>60</v>
      </c>
      <c r="T18" t="s">
        <v>61</v>
      </c>
      <c r="U18">
        <f>COUNTA(A2:A1001)</f>
        <v>1000</v>
      </c>
      <c r="Z18" t="str">
        <f t="shared" si="0"/>
        <v>Normal</v>
      </c>
    </row>
    <row r="19" spans="1:26">
      <c r="A19" t="s">
        <v>62</v>
      </c>
      <c r="B19">
        <v>37.590000000000003</v>
      </c>
      <c r="C19" t="s">
        <v>7</v>
      </c>
      <c r="D19">
        <v>1</v>
      </c>
      <c r="E19" t="s">
        <v>63</v>
      </c>
      <c r="T19" t="s">
        <v>64</v>
      </c>
      <c r="U19">
        <f>COUNTIF(C2:C1001,"In stock")</f>
        <v>1000</v>
      </c>
      <c r="Z19" t="str">
        <f t="shared" si="0"/>
        <v>Normal</v>
      </c>
    </row>
    <row r="20" spans="1:26">
      <c r="A20" t="s">
        <v>65</v>
      </c>
      <c r="B20">
        <v>51.33</v>
      </c>
      <c r="C20" t="s">
        <v>7</v>
      </c>
      <c r="D20">
        <v>2</v>
      </c>
      <c r="E20" t="s">
        <v>66</v>
      </c>
      <c r="T20" t="s">
        <v>67</v>
      </c>
      <c r="U20">
        <f>COUNTIF(C2:C1001,"Out of stock")</f>
        <v>0</v>
      </c>
      <c r="Z20" t="str">
        <f t="shared" si="0"/>
        <v>Normal</v>
      </c>
    </row>
    <row r="21" spans="1:26">
      <c r="A21" t="s">
        <v>68</v>
      </c>
      <c r="B21">
        <v>45.17</v>
      </c>
      <c r="C21" t="s">
        <v>7</v>
      </c>
      <c r="D21">
        <v>2</v>
      </c>
      <c r="E21" t="s">
        <v>69</v>
      </c>
      <c r="T21" t="s">
        <v>70</v>
      </c>
      <c r="U21">
        <f>U19/U18</f>
        <v>1</v>
      </c>
      <c r="Z21" t="str">
        <f t="shared" si="0"/>
        <v>Normal</v>
      </c>
    </row>
    <row r="22" spans="1:26" ht="45.75">
      <c r="A22" t="s">
        <v>71</v>
      </c>
      <c r="B22">
        <v>12.84</v>
      </c>
      <c r="C22" t="s">
        <v>7</v>
      </c>
      <c r="D22">
        <v>1</v>
      </c>
      <c r="E22" t="s">
        <v>72</v>
      </c>
      <c r="T22" s="5" t="s">
        <v>73</v>
      </c>
      <c r="Z22" t="str">
        <f t="shared" si="0"/>
        <v>Normal</v>
      </c>
    </row>
    <row r="23" spans="1:26">
      <c r="A23" t="s">
        <v>74</v>
      </c>
      <c r="B23">
        <v>37.32</v>
      </c>
      <c r="C23" t="s">
        <v>7</v>
      </c>
      <c r="D23">
        <v>2</v>
      </c>
      <c r="E23" t="s">
        <v>75</v>
      </c>
      <c r="T23" s="1"/>
      <c r="Z23" t="str">
        <f t="shared" si="0"/>
        <v>Normal</v>
      </c>
    </row>
    <row r="24" spans="1:26">
      <c r="A24" t="s">
        <v>76</v>
      </c>
      <c r="B24">
        <v>30.52</v>
      </c>
      <c r="C24" t="s">
        <v>7</v>
      </c>
      <c r="D24">
        <v>3</v>
      </c>
      <c r="E24" t="s">
        <v>77</v>
      </c>
      <c r="Z24" t="str">
        <f t="shared" si="0"/>
        <v>Normal</v>
      </c>
    </row>
    <row r="25" spans="1:26">
      <c r="A25" t="s">
        <v>78</v>
      </c>
      <c r="B25">
        <v>25.27</v>
      </c>
      <c r="C25" t="s">
        <v>7</v>
      </c>
      <c r="D25">
        <v>5</v>
      </c>
      <c r="E25" t="s">
        <v>79</v>
      </c>
      <c r="Z25" t="str">
        <f t="shared" si="0"/>
        <v>Normal</v>
      </c>
    </row>
    <row r="26" spans="1:26">
      <c r="A26" t="s">
        <v>80</v>
      </c>
      <c r="B26">
        <v>34.53</v>
      </c>
      <c r="C26" t="s">
        <v>7</v>
      </c>
      <c r="D26">
        <v>5</v>
      </c>
      <c r="E26" t="s">
        <v>81</v>
      </c>
      <c r="Z26" t="str">
        <f t="shared" si="0"/>
        <v>Normal</v>
      </c>
    </row>
    <row r="27" spans="1:26">
      <c r="A27" t="s">
        <v>82</v>
      </c>
      <c r="B27">
        <v>54.64</v>
      </c>
      <c r="C27" t="s">
        <v>7</v>
      </c>
      <c r="D27">
        <v>3</v>
      </c>
      <c r="E27" t="s">
        <v>83</v>
      </c>
      <c r="Z27" t="str">
        <f t="shared" si="0"/>
        <v>Normal</v>
      </c>
    </row>
    <row r="28" spans="1:26">
      <c r="A28" t="s">
        <v>84</v>
      </c>
      <c r="B28">
        <v>22.5</v>
      </c>
      <c r="C28" t="s">
        <v>7</v>
      </c>
      <c r="D28">
        <v>3</v>
      </c>
      <c r="E28" t="s">
        <v>85</v>
      </c>
      <c r="Z28" t="str">
        <f t="shared" si="0"/>
        <v>Normal</v>
      </c>
    </row>
    <row r="29" spans="1:26">
      <c r="A29" t="s">
        <v>86</v>
      </c>
      <c r="B29">
        <v>53.13</v>
      </c>
      <c r="C29" t="s">
        <v>7</v>
      </c>
      <c r="D29">
        <v>3</v>
      </c>
      <c r="E29" t="s">
        <v>87</v>
      </c>
      <c r="Z29" t="str">
        <f t="shared" si="0"/>
        <v>Normal</v>
      </c>
    </row>
    <row r="30" spans="1:26" ht="30.75">
      <c r="A30" t="s">
        <v>88</v>
      </c>
      <c r="B30">
        <v>40.299999999999997</v>
      </c>
      <c r="C30" t="s">
        <v>7</v>
      </c>
      <c r="D30">
        <v>5</v>
      </c>
      <c r="E30" t="s">
        <v>89</v>
      </c>
      <c r="T30" s="5" t="s">
        <v>90</v>
      </c>
      <c r="Z30" t="str">
        <f t="shared" si="0"/>
        <v>Normal</v>
      </c>
    </row>
    <row r="31" spans="1:26">
      <c r="A31" t="s">
        <v>91</v>
      </c>
      <c r="B31">
        <v>44.18</v>
      </c>
      <c r="C31" t="s">
        <v>7</v>
      </c>
      <c r="D31">
        <v>4</v>
      </c>
      <c r="E31" t="s">
        <v>92</v>
      </c>
      <c r="T31" s="1" t="s">
        <v>22</v>
      </c>
      <c r="U31" t="s">
        <v>93</v>
      </c>
      <c r="Z31" t="str">
        <f t="shared" si="0"/>
        <v>Normal</v>
      </c>
    </row>
    <row r="32" spans="1:26">
      <c r="A32" t="s">
        <v>94</v>
      </c>
      <c r="B32">
        <v>17.66</v>
      </c>
      <c r="C32" t="s">
        <v>7</v>
      </c>
      <c r="D32">
        <v>5</v>
      </c>
      <c r="E32" t="s">
        <v>95</v>
      </c>
      <c r="T32">
        <v>1</v>
      </c>
      <c r="U32">
        <f>COUNTIF(D2:D1001,1)</f>
        <v>226</v>
      </c>
      <c r="Z32" t="str">
        <f t="shared" si="0"/>
        <v>Normal</v>
      </c>
    </row>
    <row r="33" spans="1:26">
      <c r="A33" t="s">
        <v>96</v>
      </c>
      <c r="B33">
        <v>31.05</v>
      </c>
      <c r="C33" t="s">
        <v>7</v>
      </c>
      <c r="D33">
        <v>3</v>
      </c>
      <c r="E33" t="s">
        <v>97</v>
      </c>
      <c r="T33">
        <v>2</v>
      </c>
      <c r="U33">
        <f>COUNTIF(D2:D1001,2)</f>
        <v>196</v>
      </c>
      <c r="Z33" t="str">
        <f t="shared" si="0"/>
        <v>Normal</v>
      </c>
    </row>
    <row r="34" spans="1:26">
      <c r="A34" t="s">
        <v>98</v>
      </c>
      <c r="B34">
        <v>23.82</v>
      </c>
      <c r="C34" t="s">
        <v>7</v>
      </c>
      <c r="D34">
        <v>5</v>
      </c>
      <c r="E34" t="s">
        <v>99</v>
      </c>
      <c r="T34">
        <v>3</v>
      </c>
      <c r="U34">
        <f>COUNTIF(D2:D1001,3)</f>
        <v>203</v>
      </c>
      <c r="Z34" t="str">
        <f t="shared" si="0"/>
        <v>Normal</v>
      </c>
    </row>
    <row r="35" spans="1:26">
      <c r="A35" t="s">
        <v>100</v>
      </c>
      <c r="B35">
        <v>36.89</v>
      </c>
      <c r="C35" t="s">
        <v>7</v>
      </c>
      <c r="D35">
        <v>1</v>
      </c>
      <c r="E35" t="s">
        <v>101</v>
      </c>
      <c r="T35">
        <v>4</v>
      </c>
      <c r="U35">
        <f>COUNTIF(D2:D1001,4)</f>
        <v>179</v>
      </c>
      <c r="Z35" t="str">
        <f t="shared" si="0"/>
        <v>Normal</v>
      </c>
    </row>
    <row r="36" spans="1:26">
      <c r="A36" t="s">
        <v>102</v>
      </c>
      <c r="B36">
        <v>15.94</v>
      </c>
      <c r="C36" t="s">
        <v>7</v>
      </c>
      <c r="D36">
        <v>5</v>
      </c>
      <c r="E36" t="s">
        <v>103</v>
      </c>
      <c r="T36">
        <v>5</v>
      </c>
      <c r="U36">
        <f>COUNTIF(D2:D1001,5)</f>
        <v>196</v>
      </c>
      <c r="Z36" t="str">
        <f t="shared" si="0"/>
        <v>Normal</v>
      </c>
    </row>
    <row r="37" spans="1:26">
      <c r="A37" t="s">
        <v>104</v>
      </c>
      <c r="B37">
        <v>33.29</v>
      </c>
      <c r="C37" t="s">
        <v>7</v>
      </c>
      <c r="D37">
        <v>3</v>
      </c>
      <c r="E37" t="s">
        <v>105</v>
      </c>
      <c r="Z37" t="str">
        <f t="shared" si="0"/>
        <v>Normal</v>
      </c>
    </row>
    <row r="38" spans="1:26">
      <c r="A38" t="s">
        <v>106</v>
      </c>
      <c r="B38">
        <v>18.02</v>
      </c>
      <c r="C38" t="s">
        <v>7</v>
      </c>
      <c r="D38">
        <v>2</v>
      </c>
      <c r="E38" t="s">
        <v>107</v>
      </c>
      <c r="Z38" t="str">
        <f t="shared" si="0"/>
        <v>Normal</v>
      </c>
    </row>
    <row r="39" spans="1:26">
      <c r="A39" t="s">
        <v>108</v>
      </c>
      <c r="B39">
        <v>19.63</v>
      </c>
      <c r="C39" t="s">
        <v>7</v>
      </c>
      <c r="D39">
        <v>1</v>
      </c>
      <c r="E39" t="s">
        <v>109</v>
      </c>
      <c r="Z39" t="str">
        <f t="shared" si="0"/>
        <v>Normal</v>
      </c>
    </row>
    <row r="40" spans="1:26">
      <c r="A40" t="s">
        <v>110</v>
      </c>
      <c r="B40">
        <v>52.22</v>
      </c>
      <c r="C40" t="s">
        <v>7</v>
      </c>
      <c r="D40">
        <v>4</v>
      </c>
      <c r="E40" t="s">
        <v>111</v>
      </c>
      <c r="Z40" t="str">
        <f t="shared" si="0"/>
        <v>Normal</v>
      </c>
    </row>
    <row r="41" spans="1:26">
      <c r="A41" t="s">
        <v>112</v>
      </c>
      <c r="B41">
        <v>33.630000000000003</v>
      </c>
      <c r="C41" t="s">
        <v>7</v>
      </c>
      <c r="D41">
        <v>2</v>
      </c>
      <c r="E41" t="s">
        <v>113</v>
      </c>
      <c r="Z41" t="str">
        <f t="shared" si="0"/>
        <v>Normal</v>
      </c>
    </row>
    <row r="42" spans="1:26">
      <c r="A42" t="s">
        <v>114</v>
      </c>
      <c r="B42">
        <v>57.31</v>
      </c>
      <c r="C42" t="s">
        <v>7</v>
      </c>
      <c r="D42">
        <v>3</v>
      </c>
      <c r="E42" t="s">
        <v>115</v>
      </c>
      <c r="Z42" t="str">
        <f t="shared" si="0"/>
        <v>Normal</v>
      </c>
    </row>
    <row r="43" spans="1:26">
      <c r="A43" t="s">
        <v>116</v>
      </c>
      <c r="B43">
        <v>26.41</v>
      </c>
      <c r="C43" t="s">
        <v>7</v>
      </c>
      <c r="D43">
        <v>2</v>
      </c>
      <c r="E43" t="s">
        <v>117</v>
      </c>
      <c r="Z43" t="str">
        <f t="shared" si="0"/>
        <v>Normal</v>
      </c>
    </row>
    <row r="44" spans="1:26">
      <c r="A44" t="s">
        <v>118</v>
      </c>
      <c r="B44">
        <v>47.61</v>
      </c>
      <c r="C44" t="s">
        <v>7</v>
      </c>
      <c r="D44">
        <v>5</v>
      </c>
      <c r="E44" t="s">
        <v>119</v>
      </c>
      <c r="Z44" t="str">
        <f t="shared" si="0"/>
        <v>Normal</v>
      </c>
    </row>
    <row r="45" spans="1:26">
      <c r="A45" t="s">
        <v>120</v>
      </c>
      <c r="B45">
        <v>23.11</v>
      </c>
      <c r="C45" t="s">
        <v>7</v>
      </c>
      <c r="D45">
        <v>5</v>
      </c>
      <c r="E45" t="s">
        <v>121</v>
      </c>
      <c r="Z45" t="str">
        <f t="shared" si="0"/>
        <v>Normal</v>
      </c>
    </row>
    <row r="46" spans="1:26">
      <c r="A46" t="s">
        <v>122</v>
      </c>
      <c r="B46">
        <v>45.07</v>
      </c>
      <c r="C46" t="s">
        <v>7</v>
      </c>
      <c r="D46">
        <v>2</v>
      </c>
      <c r="E46" t="s">
        <v>123</v>
      </c>
      <c r="Z46" t="str">
        <f t="shared" si="0"/>
        <v>Normal</v>
      </c>
    </row>
    <row r="47" spans="1:26">
      <c r="A47" t="s">
        <v>124</v>
      </c>
      <c r="B47">
        <v>31.77</v>
      </c>
      <c r="C47" t="s">
        <v>7</v>
      </c>
      <c r="D47">
        <v>1</v>
      </c>
      <c r="E47" t="s">
        <v>125</v>
      </c>
      <c r="Z47" t="str">
        <f t="shared" si="0"/>
        <v>Normal</v>
      </c>
    </row>
    <row r="48" spans="1:26">
      <c r="A48" t="s">
        <v>126</v>
      </c>
      <c r="B48">
        <v>50.27</v>
      </c>
      <c r="C48" t="s">
        <v>7</v>
      </c>
      <c r="D48">
        <v>5</v>
      </c>
      <c r="E48" t="s">
        <v>127</v>
      </c>
      <c r="Z48" t="str">
        <f t="shared" si="0"/>
        <v>Normal</v>
      </c>
    </row>
    <row r="49" spans="1:26">
      <c r="A49" t="s">
        <v>128</v>
      </c>
      <c r="B49">
        <v>14.27</v>
      </c>
      <c r="C49" t="s">
        <v>7</v>
      </c>
      <c r="D49">
        <v>4</v>
      </c>
      <c r="E49" t="s">
        <v>129</v>
      </c>
      <c r="Z49" t="str">
        <f t="shared" si="0"/>
        <v>Normal</v>
      </c>
    </row>
    <row r="50" spans="1:26">
      <c r="A50" t="s">
        <v>130</v>
      </c>
      <c r="B50">
        <v>44.18</v>
      </c>
      <c r="C50" t="s">
        <v>7</v>
      </c>
      <c r="D50">
        <v>4</v>
      </c>
      <c r="E50" t="s">
        <v>131</v>
      </c>
      <c r="Z50" t="str">
        <f t="shared" si="0"/>
        <v>Normal</v>
      </c>
    </row>
    <row r="51" spans="1:26">
      <c r="A51" t="s">
        <v>132</v>
      </c>
      <c r="B51">
        <v>18.78</v>
      </c>
      <c r="C51" t="s">
        <v>7</v>
      </c>
      <c r="D51">
        <v>3</v>
      </c>
      <c r="E51" t="s">
        <v>133</v>
      </c>
      <c r="Z51" t="str">
        <f t="shared" si="0"/>
        <v>Normal</v>
      </c>
    </row>
    <row r="52" spans="1:26">
      <c r="A52" t="s">
        <v>134</v>
      </c>
      <c r="B52">
        <v>25.52</v>
      </c>
      <c r="C52" t="s">
        <v>7</v>
      </c>
      <c r="D52">
        <v>1</v>
      </c>
      <c r="E52" t="s">
        <v>135</v>
      </c>
      <c r="Z52" t="str">
        <f t="shared" si="0"/>
        <v>Normal</v>
      </c>
    </row>
    <row r="53" spans="1:26">
      <c r="A53" t="s">
        <v>136</v>
      </c>
      <c r="B53">
        <v>16.28</v>
      </c>
      <c r="C53" t="s">
        <v>7</v>
      </c>
      <c r="D53">
        <v>1</v>
      </c>
      <c r="E53" t="s">
        <v>137</v>
      </c>
      <c r="T53" s="4" t="s">
        <v>138</v>
      </c>
      <c r="Z53" t="str">
        <f t="shared" si="0"/>
        <v>Normal</v>
      </c>
    </row>
    <row r="54" spans="1:26">
      <c r="A54" t="s">
        <v>139</v>
      </c>
      <c r="B54">
        <v>31.12</v>
      </c>
      <c r="C54" t="s">
        <v>7</v>
      </c>
      <c r="D54">
        <v>3</v>
      </c>
      <c r="E54" t="s">
        <v>140</v>
      </c>
      <c r="T54" t="s">
        <v>13</v>
      </c>
      <c r="U54">
        <f>COUNTIF(C2:C1001,"In stock")</f>
        <v>1000</v>
      </c>
      <c r="Z54" t="str">
        <f t="shared" si="0"/>
        <v>Normal</v>
      </c>
    </row>
    <row r="55" spans="1:26">
      <c r="A55" t="s">
        <v>141</v>
      </c>
      <c r="B55">
        <v>19.489999999999998</v>
      </c>
      <c r="C55" t="s">
        <v>7</v>
      </c>
      <c r="D55">
        <v>4</v>
      </c>
      <c r="E55" t="s">
        <v>142</v>
      </c>
      <c r="T55" t="s">
        <v>18</v>
      </c>
      <c r="U55">
        <f>COUNTIF(C2:C1001,"Out ofstock")</f>
        <v>0</v>
      </c>
      <c r="Z55" t="str">
        <f t="shared" si="0"/>
        <v>Normal</v>
      </c>
    </row>
    <row r="56" spans="1:26">
      <c r="A56" t="s">
        <v>143</v>
      </c>
      <c r="B56">
        <v>17.27</v>
      </c>
      <c r="C56" t="s">
        <v>7</v>
      </c>
      <c r="D56">
        <v>5</v>
      </c>
      <c r="E56" t="s">
        <v>144</v>
      </c>
      <c r="Z56" t="str">
        <f t="shared" si="0"/>
        <v>Normal</v>
      </c>
    </row>
    <row r="57" spans="1:26">
      <c r="A57" t="s">
        <v>145</v>
      </c>
      <c r="B57">
        <v>19.09</v>
      </c>
      <c r="C57" t="s">
        <v>7</v>
      </c>
      <c r="D57">
        <v>1</v>
      </c>
      <c r="E57" t="s">
        <v>146</v>
      </c>
      <c r="Z57" t="str">
        <f t="shared" si="0"/>
        <v>Normal</v>
      </c>
    </row>
    <row r="58" spans="1:26">
      <c r="A58" t="s">
        <v>147</v>
      </c>
      <c r="B58">
        <v>56.13</v>
      </c>
      <c r="C58" t="s">
        <v>7</v>
      </c>
      <c r="D58">
        <v>1</v>
      </c>
      <c r="E58" t="s">
        <v>148</v>
      </c>
      <c r="Z58" t="str">
        <f t="shared" si="0"/>
        <v>Normal</v>
      </c>
    </row>
    <row r="59" spans="1:26">
      <c r="A59" t="s">
        <v>149</v>
      </c>
      <c r="B59">
        <v>56.41</v>
      </c>
      <c r="C59" t="s">
        <v>7</v>
      </c>
      <c r="D59">
        <v>1</v>
      </c>
      <c r="E59" t="s">
        <v>150</v>
      </c>
      <c r="Z59" t="str">
        <f t="shared" si="0"/>
        <v>Normal</v>
      </c>
    </row>
    <row r="60" spans="1:26">
      <c r="A60" t="s">
        <v>151</v>
      </c>
      <c r="B60">
        <v>56.5</v>
      </c>
      <c r="C60" t="s">
        <v>7</v>
      </c>
      <c r="D60">
        <v>4</v>
      </c>
      <c r="E60" t="s">
        <v>152</v>
      </c>
      <c r="Z60" t="str">
        <f t="shared" si="0"/>
        <v>Normal</v>
      </c>
    </row>
    <row r="61" spans="1:26">
      <c r="A61" t="s">
        <v>153</v>
      </c>
      <c r="B61">
        <v>45.22</v>
      </c>
      <c r="C61" t="s">
        <v>7</v>
      </c>
      <c r="D61">
        <v>3</v>
      </c>
      <c r="E61" t="s">
        <v>154</v>
      </c>
      <c r="Z61" t="str">
        <f t="shared" si="0"/>
        <v>Normal</v>
      </c>
    </row>
    <row r="62" spans="1:26">
      <c r="A62" t="s">
        <v>155</v>
      </c>
      <c r="B62">
        <v>38.159999999999997</v>
      </c>
      <c r="C62" t="s">
        <v>7</v>
      </c>
      <c r="D62">
        <v>4</v>
      </c>
      <c r="E62" t="s">
        <v>156</v>
      </c>
      <c r="Z62" t="str">
        <f t="shared" si="0"/>
        <v>Normal</v>
      </c>
    </row>
    <row r="63" spans="1:26">
      <c r="A63" t="s">
        <v>157</v>
      </c>
      <c r="B63">
        <v>54.11</v>
      </c>
      <c r="C63" t="s">
        <v>7</v>
      </c>
      <c r="D63">
        <v>3</v>
      </c>
      <c r="E63" t="s">
        <v>158</v>
      </c>
      <c r="Z63" t="str">
        <f t="shared" si="0"/>
        <v>Normal</v>
      </c>
    </row>
    <row r="64" spans="1:26">
      <c r="A64" t="s">
        <v>159</v>
      </c>
      <c r="B64">
        <v>42.96</v>
      </c>
      <c r="C64" t="s">
        <v>7</v>
      </c>
      <c r="D64">
        <v>4</v>
      </c>
      <c r="E64" t="s">
        <v>160</v>
      </c>
      <c r="Z64" t="str">
        <f t="shared" si="0"/>
        <v>Normal</v>
      </c>
    </row>
    <row r="65" spans="1:26">
      <c r="A65" t="s">
        <v>161</v>
      </c>
      <c r="B65">
        <v>23.89</v>
      </c>
      <c r="C65" t="s">
        <v>7</v>
      </c>
      <c r="D65">
        <v>4</v>
      </c>
      <c r="E65" t="s">
        <v>162</v>
      </c>
      <c r="Z65" t="str">
        <f t="shared" si="0"/>
        <v>Normal</v>
      </c>
    </row>
    <row r="66" spans="1:26">
      <c r="A66" t="s">
        <v>163</v>
      </c>
      <c r="B66">
        <v>16.77</v>
      </c>
      <c r="C66" t="s">
        <v>7</v>
      </c>
      <c r="D66">
        <v>3</v>
      </c>
      <c r="E66" t="s">
        <v>164</v>
      </c>
      <c r="Z66" t="str">
        <f t="shared" si="0"/>
        <v>Normal</v>
      </c>
    </row>
    <row r="67" spans="1:26">
      <c r="A67" t="s">
        <v>165</v>
      </c>
      <c r="B67">
        <v>20.59</v>
      </c>
      <c r="C67" t="s">
        <v>7</v>
      </c>
      <c r="D67">
        <v>5</v>
      </c>
      <c r="E67" t="s">
        <v>166</v>
      </c>
      <c r="Z67" t="str">
        <f t="shared" si="0"/>
        <v>Normal</v>
      </c>
    </row>
    <row r="68" spans="1:26">
      <c r="A68" t="s">
        <v>167</v>
      </c>
      <c r="B68">
        <v>37.130000000000003</v>
      </c>
      <c r="C68" t="s">
        <v>7</v>
      </c>
      <c r="D68">
        <v>1</v>
      </c>
      <c r="E68" t="s">
        <v>168</v>
      </c>
      <c r="Z68" t="str">
        <f t="shared" si="0"/>
        <v>Normal</v>
      </c>
    </row>
    <row r="69" spans="1:26">
      <c r="A69" t="s">
        <v>169</v>
      </c>
      <c r="B69">
        <v>56.06</v>
      </c>
      <c r="C69" t="s">
        <v>7</v>
      </c>
      <c r="D69">
        <v>1</v>
      </c>
      <c r="E69" t="s">
        <v>170</v>
      </c>
      <c r="Z69" t="str">
        <f t="shared" si="0"/>
        <v>Normal</v>
      </c>
    </row>
    <row r="70" spans="1:26">
      <c r="A70" t="s">
        <v>171</v>
      </c>
      <c r="B70">
        <v>58.11</v>
      </c>
      <c r="C70" t="s">
        <v>7</v>
      </c>
      <c r="D70">
        <v>4</v>
      </c>
      <c r="E70" t="s">
        <v>172</v>
      </c>
      <c r="Z70" t="str">
        <f t="shared" si="0"/>
        <v>Normal</v>
      </c>
    </row>
    <row r="71" spans="1:26">
      <c r="A71" t="s">
        <v>173</v>
      </c>
      <c r="B71">
        <v>49.05</v>
      </c>
      <c r="C71" t="s">
        <v>7</v>
      </c>
      <c r="D71">
        <v>3</v>
      </c>
      <c r="E71" t="s">
        <v>174</v>
      </c>
      <c r="Z71" t="str">
        <f t="shared" si="0"/>
        <v>Normal</v>
      </c>
    </row>
    <row r="72" spans="1:26">
      <c r="A72" t="s">
        <v>175</v>
      </c>
      <c r="B72">
        <v>40.76</v>
      </c>
      <c r="C72" t="s">
        <v>7</v>
      </c>
      <c r="D72">
        <v>3</v>
      </c>
      <c r="E72" t="s">
        <v>176</v>
      </c>
      <c r="Z72" t="str">
        <f t="shared" ref="Z72:Z135" si="1">IF(OR(B72&lt;$U$13, B72&gt;$U$14),"Outlier","Normal")</f>
        <v>Normal</v>
      </c>
    </row>
    <row r="73" spans="1:26">
      <c r="A73" t="s">
        <v>177</v>
      </c>
      <c r="B73">
        <v>19.73</v>
      </c>
      <c r="C73" t="s">
        <v>7</v>
      </c>
      <c r="D73">
        <v>1</v>
      </c>
      <c r="E73" t="s">
        <v>178</v>
      </c>
      <c r="Z73" t="str">
        <f t="shared" si="1"/>
        <v>Normal</v>
      </c>
    </row>
    <row r="74" spans="1:26">
      <c r="A74" t="s">
        <v>179</v>
      </c>
      <c r="B74">
        <v>32.24</v>
      </c>
      <c r="C74" t="s">
        <v>7</v>
      </c>
      <c r="D74">
        <v>5</v>
      </c>
      <c r="E74" t="s">
        <v>180</v>
      </c>
      <c r="Z74" t="str">
        <f t="shared" si="1"/>
        <v>Normal</v>
      </c>
    </row>
    <row r="75" spans="1:26">
      <c r="A75" t="s">
        <v>181</v>
      </c>
      <c r="B75">
        <v>41.83</v>
      </c>
      <c r="C75" t="s">
        <v>7</v>
      </c>
      <c r="D75">
        <v>4</v>
      </c>
      <c r="E75" t="s">
        <v>182</v>
      </c>
      <c r="Z75" t="str">
        <f t="shared" si="1"/>
        <v>Normal</v>
      </c>
    </row>
    <row r="76" spans="1:26">
      <c r="A76" t="s">
        <v>183</v>
      </c>
      <c r="B76">
        <v>39.58</v>
      </c>
      <c r="C76" t="s">
        <v>7</v>
      </c>
      <c r="D76">
        <v>2</v>
      </c>
      <c r="E76" t="s">
        <v>184</v>
      </c>
      <c r="Z76" t="str">
        <f t="shared" si="1"/>
        <v>Normal</v>
      </c>
    </row>
    <row r="77" spans="1:26">
      <c r="A77" t="s">
        <v>185</v>
      </c>
      <c r="B77">
        <v>39.25</v>
      </c>
      <c r="C77" t="s">
        <v>7</v>
      </c>
      <c r="D77">
        <v>2</v>
      </c>
      <c r="E77" t="s">
        <v>186</v>
      </c>
      <c r="Z77" t="str">
        <f t="shared" si="1"/>
        <v>Normal</v>
      </c>
    </row>
    <row r="78" spans="1:26">
      <c r="A78" t="s">
        <v>187</v>
      </c>
      <c r="B78">
        <v>25.02</v>
      </c>
      <c r="C78" t="s">
        <v>7</v>
      </c>
      <c r="D78">
        <v>3</v>
      </c>
      <c r="E78" t="s">
        <v>188</v>
      </c>
      <c r="Z78" t="str">
        <f t="shared" si="1"/>
        <v>Normal</v>
      </c>
    </row>
    <row r="79" spans="1:26">
      <c r="A79" t="s">
        <v>189</v>
      </c>
      <c r="B79">
        <v>51.04</v>
      </c>
      <c r="C79" t="s">
        <v>7</v>
      </c>
      <c r="D79">
        <v>2</v>
      </c>
      <c r="E79" t="s">
        <v>190</v>
      </c>
      <c r="Z79" t="str">
        <f t="shared" si="1"/>
        <v>Normal</v>
      </c>
    </row>
    <row r="80" spans="1:26">
      <c r="A80" t="s">
        <v>191</v>
      </c>
      <c r="B80">
        <v>19.829999999999998</v>
      </c>
      <c r="C80" t="s">
        <v>7</v>
      </c>
      <c r="D80">
        <v>2</v>
      </c>
      <c r="E80" t="s">
        <v>192</v>
      </c>
      <c r="Z80" t="str">
        <f t="shared" si="1"/>
        <v>Normal</v>
      </c>
    </row>
    <row r="81" spans="1:26">
      <c r="A81" t="s">
        <v>193</v>
      </c>
      <c r="B81">
        <v>50.4</v>
      </c>
      <c r="C81" t="s">
        <v>7</v>
      </c>
      <c r="D81">
        <v>3</v>
      </c>
      <c r="E81" t="s">
        <v>194</v>
      </c>
      <c r="Z81" t="str">
        <f t="shared" si="1"/>
        <v>Normal</v>
      </c>
    </row>
    <row r="82" spans="1:26">
      <c r="A82" t="s">
        <v>195</v>
      </c>
      <c r="B82">
        <v>13.61</v>
      </c>
      <c r="C82" t="s">
        <v>7</v>
      </c>
      <c r="D82">
        <v>5</v>
      </c>
      <c r="E82" t="s">
        <v>196</v>
      </c>
      <c r="Z82" t="str">
        <f t="shared" si="1"/>
        <v>Normal</v>
      </c>
    </row>
    <row r="83" spans="1:26">
      <c r="A83" t="s">
        <v>197</v>
      </c>
      <c r="B83">
        <v>13.34</v>
      </c>
      <c r="C83" t="s">
        <v>7</v>
      </c>
      <c r="D83">
        <v>5</v>
      </c>
      <c r="E83" t="s">
        <v>198</v>
      </c>
      <c r="Z83" t="str">
        <f t="shared" si="1"/>
        <v>Normal</v>
      </c>
    </row>
    <row r="84" spans="1:26">
      <c r="A84" t="s">
        <v>199</v>
      </c>
      <c r="B84">
        <v>18.97</v>
      </c>
      <c r="C84" t="s">
        <v>7</v>
      </c>
      <c r="D84">
        <v>1</v>
      </c>
      <c r="E84" t="s">
        <v>200</v>
      </c>
      <c r="Z84" t="str">
        <f t="shared" si="1"/>
        <v>Normal</v>
      </c>
    </row>
    <row r="85" spans="1:26">
      <c r="A85" t="s">
        <v>201</v>
      </c>
      <c r="B85">
        <v>36.28</v>
      </c>
      <c r="C85" t="s">
        <v>7</v>
      </c>
      <c r="D85">
        <v>2</v>
      </c>
      <c r="E85" t="s">
        <v>202</v>
      </c>
      <c r="Z85" t="str">
        <f t="shared" si="1"/>
        <v>Normal</v>
      </c>
    </row>
    <row r="86" spans="1:26">
      <c r="A86" t="s">
        <v>203</v>
      </c>
      <c r="B86">
        <v>10.16</v>
      </c>
      <c r="C86" t="s">
        <v>7</v>
      </c>
      <c r="D86">
        <v>3</v>
      </c>
      <c r="E86" t="s">
        <v>204</v>
      </c>
      <c r="Z86" t="str">
        <f t="shared" si="1"/>
        <v>Normal</v>
      </c>
    </row>
    <row r="87" spans="1:26">
      <c r="A87" t="s">
        <v>205</v>
      </c>
      <c r="B87">
        <v>15.44</v>
      </c>
      <c r="C87" t="s">
        <v>7</v>
      </c>
      <c r="D87">
        <v>4</v>
      </c>
      <c r="E87" t="s">
        <v>206</v>
      </c>
      <c r="Z87" t="str">
        <f t="shared" si="1"/>
        <v>Normal</v>
      </c>
    </row>
    <row r="88" spans="1:26">
      <c r="A88" t="s">
        <v>207</v>
      </c>
      <c r="B88">
        <v>48.41</v>
      </c>
      <c r="C88" t="s">
        <v>7</v>
      </c>
      <c r="D88">
        <v>1</v>
      </c>
      <c r="E88" t="s">
        <v>208</v>
      </c>
      <c r="Z88" t="str">
        <f t="shared" si="1"/>
        <v>Normal</v>
      </c>
    </row>
    <row r="89" spans="1:26">
      <c r="A89" t="s">
        <v>209</v>
      </c>
      <c r="B89">
        <v>46.35</v>
      </c>
      <c r="C89" t="s">
        <v>7</v>
      </c>
      <c r="D89">
        <v>1</v>
      </c>
      <c r="E89" t="s">
        <v>210</v>
      </c>
      <c r="Z89" t="str">
        <f t="shared" si="1"/>
        <v>Normal</v>
      </c>
    </row>
    <row r="90" spans="1:26">
      <c r="A90" t="s">
        <v>211</v>
      </c>
      <c r="B90">
        <v>14.07</v>
      </c>
      <c r="C90" t="s">
        <v>7</v>
      </c>
      <c r="D90">
        <v>3</v>
      </c>
      <c r="E90" t="s">
        <v>212</v>
      </c>
      <c r="Z90" t="str">
        <f t="shared" si="1"/>
        <v>Normal</v>
      </c>
    </row>
    <row r="91" spans="1:26">
      <c r="A91" t="s">
        <v>213</v>
      </c>
      <c r="B91">
        <v>14.86</v>
      </c>
      <c r="C91" t="s">
        <v>7</v>
      </c>
      <c r="D91">
        <v>2</v>
      </c>
      <c r="E91" t="s">
        <v>214</v>
      </c>
      <c r="Z91" t="str">
        <f t="shared" si="1"/>
        <v>Normal</v>
      </c>
    </row>
    <row r="92" spans="1:26">
      <c r="A92" t="s">
        <v>215</v>
      </c>
      <c r="B92">
        <v>33.369999999999997</v>
      </c>
      <c r="C92" t="s">
        <v>7</v>
      </c>
      <c r="D92">
        <v>2</v>
      </c>
      <c r="E92" t="s">
        <v>216</v>
      </c>
      <c r="Z92" t="str">
        <f t="shared" si="1"/>
        <v>Normal</v>
      </c>
    </row>
    <row r="93" spans="1:26">
      <c r="A93" t="s">
        <v>217</v>
      </c>
      <c r="B93">
        <v>56.4</v>
      </c>
      <c r="C93" t="s">
        <v>7</v>
      </c>
      <c r="D93">
        <v>2</v>
      </c>
      <c r="E93" t="s">
        <v>218</v>
      </c>
      <c r="Z93" t="str">
        <f t="shared" si="1"/>
        <v>Normal</v>
      </c>
    </row>
    <row r="94" spans="1:26">
      <c r="A94" t="s">
        <v>219</v>
      </c>
      <c r="B94">
        <v>14.02</v>
      </c>
      <c r="C94" t="s">
        <v>7</v>
      </c>
      <c r="D94">
        <v>4</v>
      </c>
      <c r="E94" t="s">
        <v>220</v>
      </c>
      <c r="Z94" t="str">
        <f t="shared" si="1"/>
        <v>Normal</v>
      </c>
    </row>
    <row r="95" spans="1:26">
      <c r="A95" t="s">
        <v>221</v>
      </c>
      <c r="B95">
        <v>46.91</v>
      </c>
      <c r="C95" t="s">
        <v>7</v>
      </c>
      <c r="D95">
        <v>2</v>
      </c>
      <c r="E95" t="s">
        <v>222</v>
      </c>
      <c r="Z95" t="str">
        <f t="shared" si="1"/>
        <v>Normal</v>
      </c>
    </row>
    <row r="96" spans="1:26">
      <c r="A96" t="s">
        <v>223</v>
      </c>
      <c r="B96">
        <v>45.61</v>
      </c>
      <c r="C96" t="s">
        <v>7</v>
      </c>
      <c r="D96">
        <v>3</v>
      </c>
      <c r="E96" t="s">
        <v>224</v>
      </c>
      <c r="Z96" t="str">
        <f t="shared" si="1"/>
        <v>Normal</v>
      </c>
    </row>
    <row r="97" spans="1:26">
      <c r="A97" t="s">
        <v>225</v>
      </c>
      <c r="B97">
        <v>19.920000000000002</v>
      </c>
      <c r="C97" t="s">
        <v>7</v>
      </c>
      <c r="D97">
        <v>2</v>
      </c>
      <c r="E97" t="s">
        <v>226</v>
      </c>
      <c r="Z97" t="str">
        <f t="shared" si="1"/>
        <v>Normal</v>
      </c>
    </row>
    <row r="98" spans="1:26">
      <c r="A98" t="s">
        <v>227</v>
      </c>
      <c r="B98">
        <v>40.11</v>
      </c>
      <c r="C98" t="s">
        <v>7</v>
      </c>
      <c r="D98">
        <v>1</v>
      </c>
      <c r="E98" t="s">
        <v>228</v>
      </c>
      <c r="Z98" t="str">
        <f t="shared" si="1"/>
        <v>Normal</v>
      </c>
    </row>
    <row r="99" spans="1:26">
      <c r="A99" t="s">
        <v>229</v>
      </c>
      <c r="B99">
        <v>53.9</v>
      </c>
      <c r="C99" t="s">
        <v>7</v>
      </c>
      <c r="D99">
        <v>2</v>
      </c>
      <c r="E99" t="s">
        <v>230</v>
      </c>
      <c r="Z99" t="str">
        <f t="shared" si="1"/>
        <v>Normal</v>
      </c>
    </row>
    <row r="100" spans="1:26">
      <c r="A100" t="s">
        <v>231</v>
      </c>
      <c r="B100">
        <v>35.67</v>
      </c>
      <c r="C100" t="s">
        <v>7</v>
      </c>
      <c r="D100">
        <v>5</v>
      </c>
      <c r="E100" t="s">
        <v>232</v>
      </c>
      <c r="Z100" t="str">
        <f t="shared" si="1"/>
        <v>Normal</v>
      </c>
    </row>
    <row r="101" spans="1:26">
      <c r="A101" t="s">
        <v>233</v>
      </c>
      <c r="B101">
        <v>22</v>
      </c>
      <c r="C101" t="s">
        <v>7</v>
      </c>
      <c r="D101">
        <v>4</v>
      </c>
      <c r="E101" t="s">
        <v>234</v>
      </c>
      <c r="Z101" t="str">
        <f t="shared" si="1"/>
        <v>Normal</v>
      </c>
    </row>
    <row r="102" spans="1:26">
      <c r="A102" t="s">
        <v>235</v>
      </c>
      <c r="B102">
        <v>57.36</v>
      </c>
      <c r="C102" t="s">
        <v>7</v>
      </c>
      <c r="D102">
        <v>5</v>
      </c>
      <c r="E102" t="s">
        <v>236</v>
      </c>
      <c r="Z102" t="str">
        <f t="shared" si="1"/>
        <v>Normal</v>
      </c>
    </row>
    <row r="103" spans="1:26">
      <c r="A103" t="s">
        <v>237</v>
      </c>
      <c r="B103">
        <v>29.17</v>
      </c>
      <c r="C103" t="s">
        <v>7</v>
      </c>
      <c r="D103">
        <v>2</v>
      </c>
      <c r="E103" t="s">
        <v>238</v>
      </c>
      <c r="Z103" t="str">
        <f t="shared" si="1"/>
        <v>Normal</v>
      </c>
    </row>
    <row r="104" spans="1:26">
      <c r="A104" t="s">
        <v>239</v>
      </c>
      <c r="B104">
        <v>54.63</v>
      </c>
      <c r="C104" t="s">
        <v>7</v>
      </c>
      <c r="D104">
        <v>3</v>
      </c>
      <c r="E104" t="s">
        <v>240</v>
      </c>
      <c r="Z104" t="str">
        <f t="shared" si="1"/>
        <v>Normal</v>
      </c>
    </row>
    <row r="105" spans="1:26">
      <c r="A105" t="s">
        <v>241</v>
      </c>
      <c r="B105">
        <v>46.03</v>
      </c>
      <c r="C105" t="s">
        <v>7</v>
      </c>
      <c r="D105">
        <v>1</v>
      </c>
      <c r="E105" t="s">
        <v>242</v>
      </c>
      <c r="Z105" t="str">
        <f t="shared" si="1"/>
        <v>Normal</v>
      </c>
    </row>
    <row r="106" spans="1:26">
      <c r="A106" t="s">
        <v>243</v>
      </c>
      <c r="B106">
        <v>33.97</v>
      </c>
      <c r="C106" t="s">
        <v>7</v>
      </c>
      <c r="D106">
        <v>1</v>
      </c>
      <c r="E106" t="s">
        <v>244</v>
      </c>
      <c r="Z106" t="str">
        <f t="shared" si="1"/>
        <v>Normal</v>
      </c>
    </row>
    <row r="107" spans="1:26">
      <c r="A107" t="s">
        <v>245</v>
      </c>
      <c r="B107">
        <v>22.11</v>
      </c>
      <c r="C107" t="s">
        <v>7</v>
      </c>
      <c r="D107">
        <v>2</v>
      </c>
      <c r="E107" t="s">
        <v>246</v>
      </c>
      <c r="Z107" t="str">
        <f t="shared" si="1"/>
        <v>Normal</v>
      </c>
    </row>
    <row r="108" spans="1:26">
      <c r="A108" t="s">
        <v>247</v>
      </c>
      <c r="B108">
        <v>29.69</v>
      </c>
      <c r="C108" t="s">
        <v>7</v>
      </c>
      <c r="D108">
        <v>3</v>
      </c>
      <c r="E108" t="s">
        <v>248</v>
      </c>
      <c r="Z108" t="str">
        <f t="shared" si="1"/>
        <v>Normal</v>
      </c>
    </row>
    <row r="109" spans="1:26">
      <c r="A109" t="s">
        <v>249</v>
      </c>
      <c r="B109">
        <v>15.97</v>
      </c>
      <c r="C109" t="s">
        <v>7</v>
      </c>
      <c r="D109">
        <v>4</v>
      </c>
      <c r="E109" t="s">
        <v>250</v>
      </c>
      <c r="Z109" t="str">
        <f t="shared" si="1"/>
        <v>Normal</v>
      </c>
    </row>
    <row r="110" spans="1:26">
      <c r="A110" t="s">
        <v>251</v>
      </c>
      <c r="B110">
        <v>21.96</v>
      </c>
      <c r="C110" t="s">
        <v>7</v>
      </c>
      <c r="D110">
        <v>1</v>
      </c>
      <c r="E110" t="s">
        <v>252</v>
      </c>
      <c r="Z110" t="str">
        <f t="shared" si="1"/>
        <v>Normal</v>
      </c>
    </row>
    <row r="111" spans="1:26">
      <c r="A111" t="s">
        <v>253</v>
      </c>
      <c r="B111">
        <v>54.35</v>
      </c>
      <c r="C111" t="s">
        <v>7</v>
      </c>
      <c r="D111">
        <v>2</v>
      </c>
      <c r="E111" t="s">
        <v>254</v>
      </c>
      <c r="Z111" t="str">
        <f t="shared" si="1"/>
        <v>Normal</v>
      </c>
    </row>
    <row r="112" spans="1:26">
      <c r="A112" t="s">
        <v>255</v>
      </c>
      <c r="B112">
        <v>37.97</v>
      </c>
      <c r="C112" t="s">
        <v>7</v>
      </c>
      <c r="D112">
        <v>2</v>
      </c>
      <c r="E112" t="s">
        <v>256</v>
      </c>
      <c r="Z112" t="str">
        <f t="shared" si="1"/>
        <v>Normal</v>
      </c>
    </row>
    <row r="113" spans="1:26">
      <c r="A113" t="s">
        <v>257</v>
      </c>
      <c r="B113">
        <v>51.99</v>
      </c>
      <c r="C113" t="s">
        <v>7</v>
      </c>
      <c r="D113">
        <v>4</v>
      </c>
      <c r="E113" t="s">
        <v>258</v>
      </c>
      <c r="Z113" t="str">
        <f t="shared" si="1"/>
        <v>Normal</v>
      </c>
    </row>
    <row r="114" spans="1:26">
      <c r="A114" t="s">
        <v>259</v>
      </c>
      <c r="B114">
        <v>43.29</v>
      </c>
      <c r="C114" t="s">
        <v>7</v>
      </c>
      <c r="D114">
        <v>3</v>
      </c>
      <c r="E114" t="s">
        <v>260</v>
      </c>
      <c r="Z114" t="str">
        <f t="shared" si="1"/>
        <v>Normal</v>
      </c>
    </row>
    <row r="115" spans="1:26">
      <c r="A115" t="s">
        <v>261</v>
      </c>
      <c r="B115">
        <v>36.72</v>
      </c>
      <c r="C115" t="s">
        <v>7</v>
      </c>
      <c r="D115">
        <v>4</v>
      </c>
      <c r="E115" t="s">
        <v>262</v>
      </c>
      <c r="Z115" t="str">
        <f t="shared" si="1"/>
        <v>Normal</v>
      </c>
    </row>
    <row r="116" spans="1:26">
      <c r="A116" t="s">
        <v>263</v>
      </c>
      <c r="B116">
        <v>17.079999999999998</v>
      </c>
      <c r="C116" t="s">
        <v>7</v>
      </c>
      <c r="D116">
        <v>4</v>
      </c>
      <c r="E116" t="s">
        <v>264</v>
      </c>
      <c r="Z116" t="str">
        <f t="shared" si="1"/>
        <v>Normal</v>
      </c>
    </row>
    <row r="117" spans="1:26">
      <c r="A117" t="s">
        <v>265</v>
      </c>
      <c r="B117">
        <v>29.14</v>
      </c>
      <c r="C117" t="s">
        <v>7</v>
      </c>
      <c r="D117">
        <v>5</v>
      </c>
      <c r="E117" t="s">
        <v>266</v>
      </c>
      <c r="Z117" t="str">
        <f t="shared" si="1"/>
        <v>Normal</v>
      </c>
    </row>
    <row r="118" spans="1:26">
      <c r="A118" t="s">
        <v>267</v>
      </c>
      <c r="B118">
        <v>28.81</v>
      </c>
      <c r="C118" t="s">
        <v>7</v>
      </c>
      <c r="D118">
        <v>3</v>
      </c>
      <c r="E118" t="s">
        <v>268</v>
      </c>
      <c r="Z118" t="str">
        <f t="shared" si="1"/>
        <v>Normal</v>
      </c>
    </row>
    <row r="119" spans="1:26">
      <c r="A119" t="s">
        <v>269</v>
      </c>
      <c r="B119">
        <v>49.46</v>
      </c>
      <c r="C119" t="s">
        <v>7</v>
      </c>
      <c r="D119">
        <v>2</v>
      </c>
      <c r="E119" t="s">
        <v>270</v>
      </c>
      <c r="Z119" t="str">
        <f t="shared" si="1"/>
        <v>Normal</v>
      </c>
    </row>
    <row r="120" spans="1:26">
      <c r="A120" t="s">
        <v>271</v>
      </c>
      <c r="B120">
        <v>37.92</v>
      </c>
      <c r="C120" t="s">
        <v>7</v>
      </c>
      <c r="D120">
        <v>2</v>
      </c>
      <c r="E120" t="s">
        <v>272</v>
      </c>
      <c r="Z120" t="str">
        <f t="shared" si="1"/>
        <v>Normal</v>
      </c>
    </row>
    <row r="121" spans="1:26">
      <c r="A121" t="s">
        <v>273</v>
      </c>
      <c r="B121">
        <v>28.09</v>
      </c>
      <c r="C121" t="s">
        <v>7</v>
      </c>
      <c r="D121">
        <v>2</v>
      </c>
      <c r="E121" t="s">
        <v>274</v>
      </c>
      <c r="Z121" t="str">
        <f t="shared" si="1"/>
        <v>Normal</v>
      </c>
    </row>
    <row r="122" spans="1:26">
      <c r="A122" t="s">
        <v>275</v>
      </c>
      <c r="B122">
        <v>30.81</v>
      </c>
      <c r="C122" t="s">
        <v>7</v>
      </c>
      <c r="D122">
        <v>1</v>
      </c>
      <c r="E122" t="s">
        <v>276</v>
      </c>
      <c r="Z122" t="str">
        <f t="shared" si="1"/>
        <v>Normal</v>
      </c>
    </row>
    <row r="123" spans="1:26">
      <c r="A123" t="s">
        <v>277</v>
      </c>
      <c r="B123">
        <v>42.95</v>
      </c>
      <c r="C123" t="s">
        <v>7</v>
      </c>
      <c r="D123">
        <v>1</v>
      </c>
      <c r="E123" t="s">
        <v>278</v>
      </c>
      <c r="Z123" t="str">
        <f t="shared" si="1"/>
        <v>Normal</v>
      </c>
    </row>
    <row r="124" spans="1:26">
      <c r="A124" t="s">
        <v>279</v>
      </c>
      <c r="B124">
        <v>56.76</v>
      </c>
      <c r="C124" t="s">
        <v>7</v>
      </c>
      <c r="D124">
        <v>5</v>
      </c>
      <c r="E124" t="s">
        <v>280</v>
      </c>
      <c r="Z124" t="str">
        <f t="shared" si="1"/>
        <v>Normal</v>
      </c>
    </row>
    <row r="125" spans="1:26">
      <c r="A125" t="s">
        <v>281</v>
      </c>
      <c r="B125">
        <v>16.64</v>
      </c>
      <c r="C125" t="s">
        <v>7</v>
      </c>
      <c r="D125">
        <v>1</v>
      </c>
      <c r="E125" t="s">
        <v>282</v>
      </c>
      <c r="Z125" t="str">
        <f t="shared" si="1"/>
        <v>Normal</v>
      </c>
    </row>
    <row r="126" spans="1:26">
      <c r="A126" t="s">
        <v>283</v>
      </c>
      <c r="B126">
        <v>55.53</v>
      </c>
      <c r="C126" t="s">
        <v>7</v>
      </c>
      <c r="D126">
        <v>5</v>
      </c>
      <c r="E126" t="s">
        <v>284</v>
      </c>
      <c r="Z126" t="str">
        <f t="shared" si="1"/>
        <v>Normal</v>
      </c>
    </row>
    <row r="127" spans="1:26">
      <c r="A127" t="s">
        <v>285</v>
      </c>
      <c r="B127">
        <v>28.13</v>
      </c>
      <c r="C127" t="s">
        <v>7</v>
      </c>
      <c r="D127">
        <v>4</v>
      </c>
      <c r="E127" t="s">
        <v>286</v>
      </c>
      <c r="Z127" t="str">
        <f t="shared" si="1"/>
        <v>Normal</v>
      </c>
    </row>
    <row r="128" spans="1:26">
      <c r="A128" t="s">
        <v>287</v>
      </c>
      <c r="B128">
        <v>52.37</v>
      </c>
      <c r="C128" t="s">
        <v>7</v>
      </c>
      <c r="D128">
        <v>1</v>
      </c>
      <c r="E128" t="s">
        <v>288</v>
      </c>
      <c r="Z128" t="str">
        <f t="shared" si="1"/>
        <v>Normal</v>
      </c>
    </row>
    <row r="129" spans="1:26">
      <c r="A129" t="s">
        <v>289</v>
      </c>
      <c r="B129">
        <v>54</v>
      </c>
      <c r="C129" t="s">
        <v>7</v>
      </c>
      <c r="D129">
        <v>5</v>
      </c>
      <c r="E129" t="s">
        <v>290</v>
      </c>
      <c r="Z129" t="str">
        <f t="shared" si="1"/>
        <v>Normal</v>
      </c>
    </row>
    <row r="130" spans="1:26">
      <c r="A130" t="s">
        <v>291</v>
      </c>
      <c r="B130">
        <v>21.87</v>
      </c>
      <c r="C130" t="s">
        <v>7</v>
      </c>
      <c r="D130">
        <v>4</v>
      </c>
      <c r="E130" t="s">
        <v>292</v>
      </c>
      <c r="Z130" t="str">
        <f t="shared" si="1"/>
        <v>Normal</v>
      </c>
    </row>
    <row r="131" spans="1:26">
      <c r="A131" t="s">
        <v>293</v>
      </c>
      <c r="B131">
        <v>43.3</v>
      </c>
      <c r="C131" t="s">
        <v>7</v>
      </c>
      <c r="D131">
        <v>4</v>
      </c>
      <c r="E131" t="s">
        <v>294</v>
      </c>
      <c r="Z131" t="str">
        <f t="shared" si="1"/>
        <v>Normal</v>
      </c>
    </row>
    <row r="132" spans="1:26">
      <c r="A132" t="s">
        <v>295</v>
      </c>
      <c r="B132">
        <v>21.04</v>
      </c>
      <c r="C132" t="s">
        <v>7</v>
      </c>
      <c r="D132">
        <v>2</v>
      </c>
      <c r="E132" t="s">
        <v>296</v>
      </c>
      <c r="Z132" t="str">
        <f t="shared" si="1"/>
        <v>Normal</v>
      </c>
    </row>
    <row r="133" spans="1:26">
      <c r="A133" t="s">
        <v>297</v>
      </c>
      <c r="B133">
        <v>41.6</v>
      </c>
      <c r="C133" t="s">
        <v>7</v>
      </c>
      <c r="D133">
        <v>3</v>
      </c>
      <c r="E133" t="s">
        <v>298</v>
      </c>
      <c r="Z133" t="str">
        <f t="shared" si="1"/>
        <v>Normal</v>
      </c>
    </row>
    <row r="134" spans="1:26">
      <c r="A134" t="s">
        <v>299</v>
      </c>
      <c r="B134">
        <v>35.07</v>
      </c>
      <c r="C134" t="s">
        <v>7</v>
      </c>
      <c r="D134">
        <v>3</v>
      </c>
      <c r="E134" t="s">
        <v>300</v>
      </c>
      <c r="Z134" t="str">
        <f t="shared" si="1"/>
        <v>Normal</v>
      </c>
    </row>
    <row r="135" spans="1:26">
      <c r="A135" t="s">
        <v>301</v>
      </c>
      <c r="B135">
        <v>59.64</v>
      </c>
      <c r="C135" t="s">
        <v>7</v>
      </c>
      <c r="D135">
        <v>1</v>
      </c>
      <c r="E135" t="s">
        <v>302</v>
      </c>
      <c r="Z135" t="str">
        <f t="shared" si="1"/>
        <v>Normal</v>
      </c>
    </row>
    <row r="136" spans="1:26">
      <c r="A136" t="s">
        <v>303</v>
      </c>
      <c r="B136">
        <v>52.72</v>
      </c>
      <c r="C136" t="s">
        <v>7</v>
      </c>
      <c r="D136">
        <v>1</v>
      </c>
      <c r="E136" t="s">
        <v>304</v>
      </c>
      <c r="Z136" t="str">
        <f t="shared" ref="Z136:Z199" si="2">IF(OR(B136&lt;$U$13, B136&gt;$U$14),"Outlier","Normal")</f>
        <v>Normal</v>
      </c>
    </row>
    <row r="137" spans="1:26">
      <c r="A137" t="s">
        <v>305</v>
      </c>
      <c r="B137">
        <v>58.08</v>
      </c>
      <c r="C137" t="s">
        <v>7</v>
      </c>
      <c r="D137">
        <v>4</v>
      </c>
      <c r="E137" t="s">
        <v>306</v>
      </c>
      <c r="Z137" t="str">
        <f t="shared" si="2"/>
        <v>Normal</v>
      </c>
    </row>
    <row r="138" spans="1:26">
      <c r="A138" t="s">
        <v>307</v>
      </c>
      <c r="B138">
        <v>24.12</v>
      </c>
      <c r="C138" t="s">
        <v>7</v>
      </c>
      <c r="D138">
        <v>1</v>
      </c>
      <c r="E138" t="s">
        <v>308</v>
      </c>
      <c r="Z138" t="str">
        <f t="shared" si="2"/>
        <v>Normal</v>
      </c>
    </row>
    <row r="139" spans="1:26">
      <c r="A139" t="s">
        <v>309</v>
      </c>
      <c r="B139">
        <v>42.15</v>
      </c>
      <c r="C139" t="s">
        <v>7</v>
      </c>
      <c r="D139">
        <v>4</v>
      </c>
      <c r="E139" t="s">
        <v>310</v>
      </c>
      <c r="Z139" t="str">
        <f t="shared" si="2"/>
        <v>Normal</v>
      </c>
    </row>
    <row r="140" spans="1:26">
      <c r="A140" t="s">
        <v>311</v>
      </c>
      <c r="B140">
        <v>12.61</v>
      </c>
      <c r="C140" t="s">
        <v>7</v>
      </c>
      <c r="D140">
        <v>5</v>
      </c>
      <c r="E140" t="s">
        <v>312</v>
      </c>
      <c r="Z140" t="str">
        <f t="shared" si="2"/>
        <v>Normal</v>
      </c>
    </row>
    <row r="141" spans="1:26">
      <c r="A141" t="s">
        <v>313</v>
      </c>
      <c r="B141">
        <v>17.440000000000001</v>
      </c>
      <c r="C141" t="s">
        <v>7</v>
      </c>
      <c r="D141">
        <v>4</v>
      </c>
      <c r="E141" t="s">
        <v>314</v>
      </c>
      <c r="Z141" t="str">
        <f t="shared" si="2"/>
        <v>Normal</v>
      </c>
    </row>
    <row r="142" spans="1:26">
      <c r="A142" t="s">
        <v>315</v>
      </c>
      <c r="B142">
        <v>33.14</v>
      </c>
      <c r="C142" t="s">
        <v>7</v>
      </c>
      <c r="D142">
        <v>1</v>
      </c>
      <c r="E142" t="s">
        <v>316</v>
      </c>
      <c r="Z142" t="str">
        <f t="shared" si="2"/>
        <v>Normal</v>
      </c>
    </row>
    <row r="143" spans="1:26">
      <c r="A143" t="s">
        <v>317</v>
      </c>
      <c r="B143">
        <v>27.37</v>
      </c>
      <c r="C143" t="s">
        <v>7</v>
      </c>
      <c r="D143">
        <v>4</v>
      </c>
      <c r="E143" t="s">
        <v>318</v>
      </c>
      <c r="Z143" t="str">
        <f t="shared" si="2"/>
        <v>Normal</v>
      </c>
    </row>
    <row r="144" spans="1:26">
      <c r="A144" t="s">
        <v>319</v>
      </c>
      <c r="B144">
        <v>51.36</v>
      </c>
      <c r="C144" t="s">
        <v>7</v>
      </c>
      <c r="D144">
        <v>5</v>
      </c>
      <c r="E144" t="s">
        <v>320</v>
      </c>
      <c r="Z144" t="str">
        <f t="shared" si="2"/>
        <v>Normal</v>
      </c>
    </row>
    <row r="145" spans="1:26">
      <c r="A145" t="s">
        <v>321</v>
      </c>
      <c r="B145">
        <v>36</v>
      </c>
      <c r="C145" t="s">
        <v>7</v>
      </c>
      <c r="D145">
        <v>2</v>
      </c>
      <c r="E145" t="s">
        <v>322</v>
      </c>
      <c r="Z145" t="str">
        <f t="shared" si="2"/>
        <v>Normal</v>
      </c>
    </row>
    <row r="146" spans="1:26">
      <c r="A146" t="s">
        <v>323</v>
      </c>
      <c r="B146">
        <v>10.65</v>
      </c>
      <c r="C146" t="s">
        <v>7</v>
      </c>
      <c r="D146">
        <v>1</v>
      </c>
      <c r="E146" t="s">
        <v>324</v>
      </c>
      <c r="Z146" t="str">
        <f t="shared" si="2"/>
        <v>Normal</v>
      </c>
    </row>
    <row r="147" spans="1:26">
      <c r="A147" t="s">
        <v>325</v>
      </c>
      <c r="B147">
        <v>43.54</v>
      </c>
      <c r="C147" t="s">
        <v>7</v>
      </c>
      <c r="D147">
        <v>2</v>
      </c>
      <c r="E147" t="s">
        <v>326</v>
      </c>
      <c r="Z147" t="str">
        <f t="shared" si="2"/>
        <v>Normal</v>
      </c>
    </row>
    <row r="148" spans="1:26">
      <c r="A148" t="s">
        <v>327</v>
      </c>
      <c r="B148">
        <v>38.21</v>
      </c>
      <c r="C148" t="s">
        <v>7</v>
      </c>
      <c r="D148">
        <v>2</v>
      </c>
      <c r="E148" t="s">
        <v>328</v>
      </c>
      <c r="Z148" t="str">
        <f t="shared" si="2"/>
        <v>Normal</v>
      </c>
    </row>
    <row r="149" spans="1:26">
      <c r="A149" t="s">
        <v>329</v>
      </c>
      <c r="B149">
        <v>37.340000000000003</v>
      </c>
      <c r="C149" t="s">
        <v>7</v>
      </c>
      <c r="D149">
        <v>5</v>
      </c>
      <c r="E149" t="s">
        <v>330</v>
      </c>
      <c r="Z149" t="str">
        <f t="shared" si="2"/>
        <v>Normal</v>
      </c>
    </row>
    <row r="150" spans="1:26">
      <c r="A150" t="s">
        <v>331</v>
      </c>
      <c r="B150">
        <v>44.1</v>
      </c>
      <c r="C150" t="s">
        <v>7</v>
      </c>
      <c r="D150">
        <v>4</v>
      </c>
      <c r="E150" t="s">
        <v>332</v>
      </c>
      <c r="Z150" t="str">
        <f t="shared" si="2"/>
        <v>Normal</v>
      </c>
    </row>
    <row r="151" spans="1:26">
      <c r="A151" t="s">
        <v>333</v>
      </c>
      <c r="B151">
        <v>43.29</v>
      </c>
      <c r="C151" t="s">
        <v>7</v>
      </c>
      <c r="D151">
        <v>3</v>
      </c>
      <c r="E151" t="s">
        <v>334</v>
      </c>
      <c r="Z151" t="str">
        <f t="shared" si="2"/>
        <v>Normal</v>
      </c>
    </row>
    <row r="152" spans="1:26">
      <c r="A152" t="s">
        <v>335</v>
      </c>
      <c r="B152">
        <v>55.85</v>
      </c>
      <c r="C152" t="s">
        <v>7</v>
      </c>
      <c r="D152">
        <v>1</v>
      </c>
      <c r="E152" t="s">
        <v>336</v>
      </c>
      <c r="Z152" t="str">
        <f t="shared" si="2"/>
        <v>Normal</v>
      </c>
    </row>
    <row r="153" spans="1:26">
      <c r="A153" t="s">
        <v>337</v>
      </c>
      <c r="B153">
        <v>37.6</v>
      </c>
      <c r="C153" t="s">
        <v>7</v>
      </c>
      <c r="D153">
        <v>2</v>
      </c>
      <c r="E153" t="s">
        <v>338</v>
      </c>
      <c r="Z153" t="str">
        <f t="shared" si="2"/>
        <v>Normal</v>
      </c>
    </row>
    <row r="154" spans="1:26">
      <c r="A154" t="s">
        <v>339</v>
      </c>
      <c r="B154">
        <v>10.97</v>
      </c>
      <c r="C154" t="s">
        <v>7</v>
      </c>
      <c r="D154">
        <v>1</v>
      </c>
      <c r="E154" t="s">
        <v>340</v>
      </c>
      <c r="Z154" t="str">
        <f t="shared" si="2"/>
        <v>Normal</v>
      </c>
    </row>
    <row r="155" spans="1:26">
      <c r="A155" t="s">
        <v>341</v>
      </c>
      <c r="B155">
        <v>41.82</v>
      </c>
      <c r="C155" t="s">
        <v>7</v>
      </c>
      <c r="D155">
        <v>4</v>
      </c>
      <c r="E155" t="s">
        <v>342</v>
      </c>
      <c r="Z155" t="str">
        <f t="shared" si="2"/>
        <v>Normal</v>
      </c>
    </row>
    <row r="156" spans="1:26">
      <c r="A156" t="s">
        <v>343</v>
      </c>
      <c r="B156">
        <v>36.950000000000003</v>
      </c>
      <c r="C156" t="s">
        <v>7</v>
      </c>
      <c r="D156">
        <v>1</v>
      </c>
      <c r="E156" t="s">
        <v>344</v>
      </c>
      <c r="Z156" t="str">
        <f t="shared" si="2"/>
        <v>Normal</v>
      </c>
    </row>
    <row r="157" spans="1:26">
      <c r="A157" t="s">
        <v>345</v>
      </c>
      <c r="B157">
        <v>44.28</v>
      </c>
      <c r="C157" t="s">
        <v>7</v>
      </c>
      <c r="D157">
        <v>1</v>
      </c>
      <c r="E157" t="s">
        <v>346</v>
      </c>
      <c r="Z157" t="str">
        <f t="shared" si="2"/>
        <v>Normal</v>
      </c>
    </row>
    <row r="158" spans="1:26">
      <c r="A158" t="s">
        <v>347</v>
      </c>
      <c r="B158">
        <v>55.02</v>
      </c>
      <c r="C158" t="s">
        <v>7</v>
      </c>
      <c r="D158">
        <v>2</v>
      </c>
      <c r="E158" t="s">
        <v>348</v>
      </c>
      <c r="Z158" t="str">
        <f t="shared" si="2"/>
        <v>Normal</v>
      </c>
    </row>
    <row r="159" spans="1:26">
      <c r="A159" t="s">
        <v>349</v>
      </c>
      <c r="B159">
        <v>17.239999999999998</v>
      </c>
      <c r="C159" t="s">
        <v>7</v>
      </c>
      <c r="D159">
        <v>1</v>
      </c>
      <c r="E159" t="s">
        <v>350</v>
      </c>
      <c r="Z159" t="str">
        <f t="shared" si="2"/>
        <v>Normal</v>
      </c>
    </row>
    <row r="160" spans="1:26">
      <c r="A160" t="s">
        <v>351</v>
      </c>
      <c r="B160">
        <v>23.15</v>
      </c>
      <c r="C160" t="s">
        <v>7</v>
      </c>
      <c r="D160">
        <v>2</v>
      </c>
      <c r="E160" t="s">
        <v>352</v>
      </c>
      <c r="Z160" t="str">
        <f t="shared" si="2"/>
        <v>Normal</v>
      </c>
    </row>
    <row r="161" spans="1:26">
      <c r="A161" t="s">
        <v>353</v>
      </c>
      <c r="B161">
        <v>41.25</v>
      </c>
      <c r="C161" t="s">
        <v>7</v>
      </c>
      <c r="D161">
        <v>1</v>
      </c>
      <c r="E161" t="s">
        <v>354</v>
      </c>
      <c r="Z161" t="str">
        <f t="shared" si="2"/>
        <v>Normal</v>
      </c>
    </row>
    <row r="162" spans="1:26">
      <c r="A162" t="s">
        <v>355</v>
      </c>
      <c r="B162">
        <v>32</v>
      </c>
      <c r="C162" t="s">
        <v>7</v>
      </c>
      <c r="D162">
        <v>3</v>
      </c>
      <c r="E162" t="s">
        <v>356</v>
      </c>
      <c r="Z162" t="str">
        <f t="shared" si="2"/>
        <v>Normal</v>
      </c>
    </row>
    <row r="163" spans="1:26">
      <c r="A163" t="s">
        <v>357</v>
      </c>
      <c r="B163">
        <v>38.49</v>
      </c>
      <c r="C163" t="s">
        <v>7</v>
      </c>
      <c r="D163">
        <v>5</v>
      </c>
      <c r="E163" t="s">
        <v>358</v>
      </c>
      <c r="Z163" t="str">
        <f t="shared" si="2"/>
        <v>Normal</v>
      </c>
    </row>
    <row r="164" spans="1:26">
      <c r="A164" t="s">
        <v>359</v>
      </c>
      <c r="B164">
        <v>33.340000000000003</v>
      </c>
      <c r="C164" t="s">
        <v>7</v>
      </c>
      <c r="D164">
        <v>5</v>
      </c>
      <c r="E164" t="s">
        <v>360</v>
      </c>
      <c r="Z164" t="str">
        <f t="shared" si="2"/>
        <v>Normal</v>
      </c>
    </row>
    <row r="165" spans="1:26">
      <c r="A165" t="s">
        <v>361</v>
      </c>
      <c r="B165">
        <v>10.93</v>
      </c>
      <c r="C165" t="s">
        <v>7</v>
      </c>
      <c r="D165">
        <v>2</v>
      </c>
      <c r="E165" t="s">
        <v>362</v>
      </c>
      <c r="Z165" t="str">
        <f t="shared" si="2"/>
        <v>Normal</v>
      </c>
    </row>
    <row r="166" spans="1:26">
      <c r="A166" t="s">
        <v>363</v>
      </c>
      <c r="B166">
        <v>27.55</v>
      </c>
      <c r="C166" t="s">
        <v>7</v>
      </c>
      <c r="D166">
        <v>3</v>
      </c>
      <c r="E166" t="s">
        <v>364</v>
      </c>
      <c r="Z166" t="str">
        <f t="shared" si="2"/>
        <v>Normal</v>
      </c>
    </row>
    <row r="167" spans="1:26">
      <c r="A167" t="s">
        <v>365</v>
      </c>
      <c r="B167">
        <v>55.99</v>
      </c>
      <c r="C167" t="s">
        <v>7</v>
      </c>
      <c r="D167">
        <v>2</v>
      </c>
      <c r="E167" t="s">
        <v>366</v>
      </c>
      <c r="Z167" t="str">
        <f t="shared" si="2"/>
        <v>Normal</v>
      </c>
    </row>
    <row r="168" spans="1:26">
      <c r="A168" t="s">
        <v>367</v>
      </c>
      <c r="B168">
        <v>16.239999999999998</v>
      </c>
      <c r="C168" t="s">
        <v>7</v>
      </c>
      <c r="D168">
        <v>4</v>
      </c>
      <c r="E168" t="s">
        <v>368</v>
      </c>
      <c r="Z168" t="str">
        <f t="shared" si="2"/>
        <v>Normal</v>
      </c>
    </row>
    <row r="169" spans="1:26">
      <c r="A169" t="s">
        <v>369</v>
      </c>
      <c r="B169">
        <v>26.12</v>
      </c>
      <c r="C169" t="s">
        <v>7</v>
      </c>
      <c r="D169">
        <v>2</v>
      </c>
      <c r="E169" t="s">
        <v>370</v>
      </c>
      <c r="Z169" t="str">
        <f t="shared" si="2"/>
        <v>Normal</v>
      </c>
    </row>
    <row r="170" spans="1:26">
      <c r="A170" t="s">
        <v>371</v>
      </c>
      <c r="B170">
        <v>12.23</v>
      </c>
      <c r="C170" t="s">
        <v>7</v>
      </c>
      <c r="D170">
        <v>2</v>
      </c>
      <c r="E170" t="s">
        <v>372</v>
      </c>
      <c r="Z170" t="str">
        <f t="shared" si="2"/>
        <v>Normal</v>
      </c>
    </row>
    <row r="171" spans="1:26">
      <c r="A171" t="s">
        <v>373</v>
      </c>
      <c r="B171">
        <v>23.99</v>
      </c>
      <c r="C171" t="s">
        <v>7</v>
      </c>
      <c r="D171">
        <v>2</v>
      </c>
      <c r="E171" t="s">
        <v>374</v>
      </c>
      <c r="Z171" t="str">
        <f t="shared" si="2"/>
        <v>Normal</v>
      </c>
    </row>
    <row r="172" spans="1:26">
      <c r="A172" t="s">
        <v>375</v>
      </c>
      <c r="B172">
        <v>29.06</v>
      </c>
      <c r="C172" t="s">
        <v>7</v>
      </c>
      <c r="D172">
        <v>3</v>
      </c>
      <c r="E172" t="s">
        <v>376</v>
      </c>
      <c r="Z172" t="str">
        <f t="shared" si="2"/>
        <v>Normal</v>
      </c>
    </row>
    <row r="173" spans="1:26">
      <c r="A173" t="s">
        <v>377</v>
      </c>
      <c r="B173">
        <v>20.27</v>
      </c>
      <c r="C173" t="s">
        <v>7</v>
      </c>
      <c r="D173">
        <v>1</v>
      </c>
      <c r="E173" t="s">
        <v>378</v>
      </c>
      <c r="Z173" t="str">
        <f t="shared" si="2"/>
        <v>Normal</v>
      </c>
    </row>
    <row r="174" spans="1:26">
      <c r="A174" t="s">
        <v>379</v>
      </c>
      <c r="B174">
        <v>43.55</v>
      </c>
      <c r="C174" t="s">
        <v>7</v>
      </c>
      <c r="D174">
        <v>5</v>
      </c>
      <c r="E174" t="s">
        <v>380</v>
      </c>
      <c r="Z174" t="str">
        <f t="shared" si="2"/>
        <v>Normal</v>
      </c>
    </row>
    <row r="175" spans="1:26">
      <c r="A175" t="s">
        <v>381</v>
      </c>
      <c r="B175">
        <v>36.94</v>
      </c>
      <c r="C175" t="s">
        <v>7</v>
      </c>
      <c r="D175">
        <v>1</v>
      </c>
      <c r="E175" t="s">
        <v>382</v>
      </c>
      <c r="Z175" t="str">
        <f t="shared" si="2"/>
        <v>Normal</v>
      </c>
    </row>
    <row r="176" spans="1:26">
      <c r="A176" t="s">
        <v>383</v>
      </c>
      <c r="B176">
        <v>20.47</v>
      </c>
      <c r="C176" t="s">
        <v>7</v>
      </c>
      <c r="D176">
        <v>5</v>
      </c>
      <c r="E176" t="s">
        <v>384</v>
      </c>
      <c r="Z176" t="str">
        <f t="shared" si="2"/>
        <v>Normal</v>
      </c>
    </row>
    <row r="177" spans="1:26">
      <c r="A177" t="s">
        <v>385</v>
      </c>
      <c r="B177">
        <v>41.06</v>
      </c>
      <c r="C177" t="s">
        <v>7</v>
      </c>
      <c r="D177">
        <v>1</v>
      </c>
      <c r="E177" t="s">
        <v>386</v>
      </c>
      <c r="Z177" t="str">
        <f t="shared" si="2"/>
        <v>Normal</v>
      </c>
    </row>
    <row r="178" spans="1:26">
      <c r="A178" t="s">
        <v>387</v>
      </c>
      <c r="B178">
        <v>14.19</v>
      </c>
      <c r="C178" t="s">
        <v>7</v>
      </c>
      <c r="D178">
        <v>4</v>
      </c>
      <c r="E178" t="s">
        <v>388</v>
      </c>
      <c r="Z178" t="str">
        <f t="shared" si="2"/>
        <v>Normal</v>
      </c>
    </row>
    <row r="179" spans="1:26">
      <c r="A179" t="s">
        <v>389</v>
      </c>
      <c r="B179">
        <v>38.28</v>
      </c>
      <c r="C179" t="s">
        <v>7</v>
      </c>
      <c r="D179">
        <v>1</v>
      </c>
      <c r="E179" t="s">
        <v>390</v>
      </c>
      <c r="Z179" t="str">
        <f t="shared" si="2"/>
        <v>Normal</v>
      </c>
    </row>
    <row r="180" spans="1:26">
      <c r="A180" t="s">
        <v>391</v>
      </c>
      <c r="B180">
        <v>41.05</v>
      </c>
      <c r="C180" t="s">
        <v>7</v>
      </c>
      <c r="D180">
        <v>1</v>
      </c>
      <c r="E180" t="s">
        <v>392</v>
      </c>
      <c r="Z180" t="str">
        <f t="shared" si="2"/>
        <v>Normal</v>
      </c>
    </row>
    <row r="181" spans="1:26">
      <c r="A181" t="s">
        <v>393</v>
      </c>
      <c r="B181">
        <v>30.25</v>
      </c>
      <c r="C181" t="s">
        <v>7</v>
      </c>
      <c r="D181">
        <v>5</v>
      </c>
      <c r="E181" t="s">
        <v>394</v>
      </c>
      <c r="Z181" t="str">
        <f t="shared" si="2"/>
        <v>Normal</v>
      </c>
    </row>
    <row r="182" spans="1:26">
      <c r="A182" t="s">
        <v>395</v>
      </c>
      <c r="B182">
        <v>28.26</v>
      </c>
      <c r="C182" t="s">
        <v>7</v>
      </c>
      <c r="D182">
        <v>5</v>
      </c>
      <c r="E182" t="s">
        <v>396</v>
      </c>
      <c r="Z182" t="str">
        <f t="shared" si="2"/>
        <v>Normal</v>
      </c>
    </row>
    <row r="183" spans="1:26">
      <c r="A183" t="s">
        <v>397</v>
      </c>
      <c r="B183">
        <v>10.76</v>
      </c>
      <c r="C183" t="s">
        <v>7</v>
      </c>
      <c r="D183">
        <v>1</v>
      </c>
      <c r="E183" t="s">
        <v>398</v>
      </c>
      <c r="Z183" t="str">
        <f t="shared" si="2"/>
        <v>Normal</v>
      </c>
    </row>
    <row r="184" spans="1:26">
      <c r="A184" t="s">
        <v>399</v>
      </c>
      <c r="B184">
        <v>16.850000000000001</v>
      </c>
      <c r="C184" t="s">
        <v>7</v>
      </c>
      <c r="D184">
        <v>2</v>
      </c>
      <c r="E184" t="s">
        <v>400</v>
      </c>
      <c r="Z184" t="str">
        <f t="shared" si="2"/>
        <v>Normal</v>
      </c>
    </row>
    <row r="185" spans="1:26">
      <c r="A185" t="s">
        <v>401</v>
      </c>
      <c r="B185">
        <v>13.47</v>
      </c>
      <c r="C185" t="s">
        <v>7</v>
      </c>
      <c r="D185">
        <v>3</v>
      </c>
      <c r="E185" t="s">
        <v>402</v>
      </c>
      <c r="Z185" t="str">
        <f t="shared" si="2"/>
        <v>Normal</v>
      </c>
    </row>
    <row r="186" spans="1:26">
      <c r="A186" t="s">
        <v>403</v>
      </c>
      <c r="B186">
        <v>48.56</v>
      </c>
      <c r="C186" t="s">
        <v>7</v>
      </c>
      <c r="D186">
        <v>5</v>
      </c>
      <c r="E186" t="s">
        <v>404</v>
      </c>
      <c r="Z186" t="str">
        <f t="shared" si="2"/>
        <v>Normal</v>
      </c>
    </row>
    <row r="187" spans="1:26">
      <c r="A187" t="s">
        <v>405</v>
      </c>
      <c r="B187">
        <v>19.149999999999999</v>
      </c>
      <c r="C187" t="s">
        <v>7</v>
      </c>
      <c r="D187">
        <v>2</v>
      </c>
      <c r="E187" t="s">
        <v>406</v>
      </c>
      <c r="Z187" t="str">
        <f t="shared" si="2"/>
        <v>Normal</v>
      </c>
    </row>
    <row r="188" spans="1:26">
      <c r="A188" t="s">
        <v>407</v>
      </c>
      <c r="B188">
        <v>57.36</v>
      </c>
      <c r="C188" t="s">
        <v>7</v>
      </c>
      <c r="D188">
        <v>4</v>
      </c>
      <c r="E188" t="s">
        <v>408</v>
      </c>
      <c r="Z188" t="str">
        <f t="shared" si="2"/>
        <v>Normal</v>
      </c>
    </row>
    <row r="189" spans="1:26">
      <c r="A189" t="s">
        <v>409</v>
      </c>
      <c r="B189">
        <v>42.98</v>
      </c>
      <c r="C189" t="s">
        <v>7</v>
      </c>
      <c r="D189">
        <v>1</v>
      </c>
      <c r="E189" t="s">
        <v>410</v>
      </c>
      <c r="Z189" t="str">
        <f t="shared" si="2"/>
        <v>Normal</v>
      </c>
    </row>
    <row r="190" spans="1:26">
      <c r="A190" t="s">
        <v>411</v>
      </c>
      <c r="B190">
        <v>22.16</v>
      </c>
      <c r="C190" t="s">
        <v>7</v>
      </c>
      <c r="D190">
        <v>2</v>
      </c>
      <c r="E190" t="s">
        <v>412</v>
      </c>
      <c r="Z190" t="str">
        <f t="shared" si="2"/>
        <v>Normal</v>
      </c>
    </row>
    <row r="191" spans="1:26">
      <c r="A191" t="s">
        <v>413</v>
      </c>
      <c r="B191">
        <v>49.43</v>
      </c>
      <c r="C191" t="s">
        <v>7</v>
      </c>
      <c r="D191">
        <v>4</v>
      </c>
      <c r="E191" t="s">
        <v>414</v>
      </c>
      <c r="Z191" t="str">
        <f t="shared" si="2"/>
        <v>Normal</v>
      </c>
    </row>
    <row r="192" spans="1:26">
      <c r="A192" t="s">
        <v>415</v>
      </c>
      <c r="B192">
        <v>29.99</v>
      </c>
      <c r="C192" t="s">
        <v>7</v>
      </c>
      <c r="D192">
        <v>5</v>
      </c>
      <c r="E192" t="s">
        <v>416</v>
      </c>
      <c r="Z192" t="str">
        <f t="shared" si="2"/>
        <v>Normal</v>
      </c>
    </row>
    <row r="193" spans="1:26">
      <c r="A193" t="s">
        <v>417</v>
      </c>
      <c r="B193">
        <v>21.36</v>
      </c>
      <c r="C193" t="s">
        <v>7</v>
      </c>
      <c r="D193">
        <v>1</v>
      </c>
      <c r="E193" t="s">
        <v>418</v>
      </c>
      <c r="Z193" t="str">
        <f t="shared" si="2"/>
        <v>Normal</v>
      </c>
    </row>
    <row r="194" spans="1:26">
      <c r="A194" t="s">
        <v>419</v>
      </c>
      <c r="B194">
        <v>29</v>
      </c>
      <c r="C194" t="s">
        <v>7</v>
      </c>
      <c r="D194">
        <v>1</v>
      </c>
      <c r="E194" t="s">
        <v>420</v>
      </c>
      <c r="Z194" t="str">
        <f t="shared" si="2"/>
        <v>Normal</v>
      </c>
    </row>
    <row r="195" spans="1:26">
      <c r="A195" t="s">
        <v>421</v>
      </c>
      <c r="B195">
        <v>53.53</v>
      </c>
      <c r="C195" t="s">
        <v>7</v>
      </c>
      <c r="D195">
        <v>5</v>
      </c>
      <c r="E195" t="s">
        <v>422</v>
      </c>
      <c r="Z195" t="str">
        <f t="shared" si="2"/>
        <v>Normal</v>
      </c>
    </row>
    <row r="196" spans="1:26">
      <c r="A196" t="s">
        <v>423</v>
      </c>
      <c r="B196">
        <v>41.62</v>
      </c>
      <c r="C196" t="s">
        <v>7</v>
      </c>
      <c r="D196">
        <v>4</v>
      </c>
      <c r="E196" t="s">
        <v>424</v>
      </c>
      <c r="Z196" t="str">
        <f t="shared" si="2"/>
        <v>Normal</v>
      </c>
    </row>
    <row r="197" spans="1:26">
      <c r="A197" t="s">
        <v>425</v>
      </c>
      <c r="B197">
        <v>54.59</v>
      </c>
      <c r="C197" t="s">
        <v>7</v>
      </c>
      <c r="D197">
        <v>4</v>
      </c>
      <c r="E197" t="s">
        <v>426</v>
      </c>
      <c r="Z197" t="str">
        <f t="shared" si="2"/>
        <v>Normal</v>
      </c>
    </row>
    <row r="198" spans="1:26">
      <c r="A198" t="s">
        <v>427</v>
      </c>
      <c r="B198">
        <v>34.950000000000003</v>
      </c>
      <c r="C198" t="s">
        <v>7</v>
      </c>
      <c r="D198">
        <v>4</v>
      </c>
      <c r="E198" t="s">
        <v>428</v>
      </c>
      <c r="Z198" t="str">
        <f t="shared" si="2"/>
        <v>Normal</v>
      </c>
    </row>
    <row r="199" spans="1:26">
      <c r="A199" t="s">
        <v>429</v>
      </c>
      <c r="B199">
        <v>37.72</v>
      </c>
      <c r="C199" t="s">
        <v>7</v>
      </c>
      <c r="D199">
        <v>5</v>
      </c>
      <c r="E199" t="s">
        <v>430</v>
      </c>
      <c r="Z199" t="str">
        <f t="shared" si="2"/>
        <v>Normal</v>
      </c>
    </row>
    <row r="200" spans="1:26">
      <c r="A200" t="s">
        <v>431</v>
      </c>
      <c r="B200">
        <v>35.61</v>
      </c>
      <c r="C200" t="s">
        <v>7</v>
      </c>
      <c r="D200">
        <v>3</v>
      </c>
      <c r="E200" t="s">
        <v>432</v>
      </c>
      <c r="Z200" t="str">
        <f t="shared" ref="Z200:Z263" si="3">IF(OR(B200&lt;$U$13, B200&gt;$U$14),"Outlier","Normal")</f>
        <v>Normal</v>
      </c>
    </row>
    <row r="201" spans="1:26">
      <c r="A201" t="s">
        <v>433</v>
      </c>
      <c r="B201">
        <v>42.16</v>
      </c>
      <c r="C201" t="s">
        <v>7</v>
      </c>
      <c r="D201">
        <v>3</v>
      </c>
      <c r="E201" t="s">
        <v>434</v>
      </c>
      <c r="Z201" t="str">
        <f t="shared" si="3"/>
        <v>Normal</v>
      </c>
    </row>
    <row r="202" spans="1:26">
      <c r="A202" t="s">
        <v>435</v>
      </c>
      <c r="B202">
        <v>19.190000000000001</v>
      </c>
      <c r="C202" t="s">
        <v>7</v>
      </c>
      <c r="D202">
        <v>5</v>
      </c>
      <c r="E202" t="s">
        <v>436</v>
      </c>
      <c r="Z202" t="str">
        <f t="shared" si="3"/>
        <v>Normal</v>
      </c>
    </row>
    <row r="203" spans="1:26">
      <c r="A203" t="s">
        <v>437</v>
      </c>
      <c r="B203">
        <v>19.43</v>
      </c>
      <c r="C203" t="s">
        <v>7</v>
      </c>
      <c r="D203">
        <v>3</v>
      </c>
      <c r="E203" t="s">
        <v>438</v>
      </c>
      <c r="Z203" t="str">
        <f t="shared" si="3"/>
        <v>Normal</v>
      </c>
    </row>
    <row r="204" spans="1:26">
      <c r="A204" t="s">
        <v>439</v>
      </c>
      <c r="B204">
        <v>49.46</v>
      </c>
      <c r="C204" t="s">
        <v>7</v>
      </c>
      <c r="D204">
        <v>4</v>
      </c>
      <c r="E204" t="s">
        <v>440</v>
      </c>
      <c r="Z204" t="str">
        <f t="shared" si="3"/>
        <v>Normal</v>
      </c>
    </row>
    <row r="205" spans="1:26">
      <c r="A205" t="s">
        <v>441</v>
      </c>
      <c r="B205">
        <v>37.799999999999997</v>
      </c>
      <c r="C205" t="s">
        <v>7</v>
      </c>
      <c r="D205">
        <v>2</v>
      </c>
      <c r="E205" t="s">
        <v>442</v>
      </c>
      <c r="Z205" t="str">
        <f t="shared" si="3"/>
        <v>Normal</v>
      </c>
    </row>
    <row r="206" spans="1:26">
      <c r="A206" t="s">
        <v>443</v>
      </c>
      <c r="B206">
        <v>30.8</v>
      </c>
      <c r="C206" t="s">
        <v>7</v>
      </c>
      <c r="D206">
        <v>3</v>
      </c>
      <c r="E206" t="s">
        <v>444</v>
      </c>
      <c r="Z206" t="str">
        <f t="shared" si="3"/>
        <v>Normal</v>
      </c>
    </row>
    <row r="207" spans="1:26">
      <c r="A207" t="s">
        <v>445</v>
      </c>
      <c r="B207">
        <v>27.43</v>
      </c>
      <c r="C207" t="s">
        <v>7</v>
      </c>
      <c r="D207">
        <v>2</v>
      </c>
      <c r="E207" t="s">
        <v>446</v>
      </c>
      <c r="Z207" t="str">
        <f t="shared" si="3"/>
        <v>Normal</v>
      </c>
    </row>
    <row r="208" spans="1:26">
      <c r="A208" t="s">
        <v>447</v>
      </c>
      <c r="B208">
        <v>11.11</v>
      </c>
      <c r="C208" t="s">
        <v>7</v>
      </c>
      <c r="D208">
        <v>2</v>
      </c>
      <c r="E208" t="s">
        <v>448</v>
      </c>
      <c r="Z208" t="str">
        <f t="shared" si="3"/>
        <v>Normal</v>
      </c>
    </row>
    <row r="209" spans="1:26">
      <c r="A209" t="s">
        <v>449</v>
      </c>
      <c r="B209">
        <v>36.5</v>
      </c>
      <c r="C209" t="s">
        <v>7</v>
      </c>
      <c r="D209">
        <v>2</v>
      </c>
      <c r="E209" t="s">
        <v>450</v>
      </c>
      <c r="Z209" t="str">
        <f t="shared" si="3"/>
        <v>Normal</v>
      </c>
    </row>
    <row r="210" spans="1:26">
      <c r="A210" t="s">
        <v>451</v>
      </c>
      <c r="B210">
        <v>15.38</v>
      </c>
      <c r="C210" t="s">
        <v>7</v>
      </c>
      <c r="D210">
        <v>5</v>
      </c>
      <c r="E210" t="s">
        <v>452</v>
      </c>
      <c r="Z210" t="str">
        <f t="shared" si="3"/>
        <v>Normal</v>
      </c>
    </row>
    <row r="211" spans="1:26">
      <c r="A211" t="s">
        <v>453</v>
      </c>
      <c r="B211">
        <v>15.48</v>
      </c>
      <c r="C211" t="s">
        <v>7</v>
      </c>
      <c r="D211">
        <v>2</v>
      </c>
      <c r="E211" t="s">
        <v>454</v>
      </c>
      <c r="Z211" t="str">
        <f t="shared" si="3"/>
        <v>Normal</v>
      </c>
    </row>
    <row r="212" spans="1:26">
      <c r="A212" t="s">
        <v>455</v>
      </c>
      <c r="B212">
        <v>46.82</v>
      </c>
      <c r="C212" t="s">
        <v>7</v>
      </c>
      <c r="D212">
        <v>4</v>
      </c>
      <c r="E212" t="s">
        <v>456</v>
      </c>
      <c r="Z212" t="str">
        <f t="shared" si="3"/>
        <v>Normal</v>
      </c>
    </row>
    <row r="213" spans="1:26">
      <c r="A213" t="s">
        <v>457</v>
      </c>
      <c r="B213">
        <v>18.46</v>
      </c>
      <c r="C213" t="s">
        <v>7</v>
      </c>
      <c r="D213">
        <v>3</v>
      </c>
      <c r="E213" t="s">
        <v>458</v>
      </c>
      <c r="Z213" t="str">
        <f t="shared" si="3"/>
        <v>Normal</v>
      </c>
    </row>
    <row r="214" spans="1:26">
      <c r="A214" t="s">
        <v>459</v>
      </c>
      <c r="B214">
        <v>36.58</v>
      </c>
      <c r="C214" t="s">
        <v>7</v>
      </c>
      <c r="D214">
        <v>1</v>
      </c>
      <c r="E214" t="s">
        <v>460</v>
      </c>
      <c r="Z214" t="str">
        <f t="shared" si="3"/>
        <v>Normal</v>
      </c>
    </row>
    <row r="215" spans="1:26">
      <c r="A215" t="s">
        <v>461</v>
      </c>
      <c r="B215">
        <v>50.54</v>
      </c>
      <c r="C215" t="s">
        <v>7</v>
      </c>
      <c r="D215">
        <v>5</v>
      </c>
      <c r="E215" t="s">
        <v>462</v>
      </c>
      <c r="Z215" t="str">
        <f t="shared" si="3"/>
        <v>Normal</v>
      </c>
    </row>
    <row r="216" spans="1:26">
      <c r="A216" t="s">
        <v>463</v>
      </c>
      <c r="B216">
        <v>12.51</v>
      </c>
      <c r="C216" t="s">
        <v>7</v>
      </c>
      <c r="D216">
        <v>5</v>
      </c>
      <c r="E216" t="s">
        <v>464</v>
      </c>
      <c r="Z216" t="str">
        <f t="shared" si="3"/>
        <v>Normal</v>
      </c>
    </row>
    <row r="217" spans="1:26">
      <c r="A217" t="s">
        <v>465</v>
      </c>
      <c r="B217">
        <v>24.7</v>
      </c>
      <c r="C217" t="s">
        <v>7</v>
      </c>
      <c r="D217">
        <v>3</v>
      </c>
      <c r="E217" t="s">
        <v>466</v>
      </c>
      <c r="Z217" t="str">
        <f t="shared" si="3"/>
        <v>Normal</v>
      </c>
    </row>
    <row r="218" spans="1:26">
      <c r="A218" t="s">
        <v>467</v>
      </c>
      <c r="B218">
        <v>43.61</v>
      </c>
      <c r="C218" t="s">
        <v>7</v>
      </c>
      <c r="D218">
        <v>5</v>
      </c>
      <c r="E218" t="s">
        <v>468</v>
      </c>
      <c r="Z218" t="str">
        <f t="shared" si="3"/>
        <v>Normal</v>
      </c>
    </row>
    <row r="219" spans="1:26">
      <c r="A219" t="s">
        <v>469</v>
      </c>
      <c r="B219">
        <v>37.340000000000003</v>
      </c>
      <c r="C219" t="s">
        <v>7</v>
      </c>
      <c r="D219">
        <v>4</v>
      </c>
      <c r="E219" t="s">
        <v>470</v>
      </c>
      <c r="Z219" t="str">
        <f t="shared" si="3"/>
        <v>Normal</v>
      </c>
    </row>
    <row r="220" spans="1:26">
      <c r="A220" t="s">
        <v>471</v>
      </c>
      <c r="B220">
        <v>14.36</v>
      </c>
      <c r="C220" t="s">
        <v>7</v>
      </c>
      <c r="D220">
        <v>2</v>
      </c>
      <c r="E220" t="s">
        <v>472</v>
      </c>
      <c r="Z220" t="str">
        <f t="shared" si="3"/>
        <v>Normal</v>
      </c>
    </row>
    <row r="221" spans="1:26">
      <c r="A221" t="s">
        <v>473</v>
      </c>
      <c r="B221">
        <v>52.65</v>
      </c>
      <c r="C221" t="s">
        <v>7</v>
      </c>
      <c r="D221">
        <v>4</v>
      </c>
      <c r="E221" t="s">
        <v>474</v>
      </c>
      <c r="Z221" t="str">
        <f t="shared" si="3"/>
        <v>Normal</v>
      </c>
    </row>
    <row r="222" spans="1:26">
      <c r="A222" t="s">
        <v>475</v>
      </c>
      <c r="B222">
        <v>38.200000000000003</v>
      </c>
      <c r="C222" t="s">
        <v>7</v>
      </c>
      <c r="D222">
        <v>4</v>
      </c>
      <c r="E222" t="s">
        <v>476</v>
      </c>
      <c r="Z222" t="str">
        <f t="shared" si="3"/>
        <v>Normal</v>
      </c>
    </row>
    <row r="223" spans="1:26">
      <c r="A223" t="s">
        <v>477</v>
      </c>
      <c r="B223">
        <v>19.600000000000001</v>
      </c>
      <c r="C223" t="s">
        <v>7</v>
      </c>
      <c r="D223">
        <v>2</v>
      </c>
      <c r="E223" t="s">
        <v>478</v>
      </c>
      <c r="Z223" t="str">
        <f t="shared" si="3"/>
        <v>Normal</v>
      </c>
    </row>
    <row r="224" spans="1:26">
      <c r="A224" t="s">
        <v>479</v>
      </c>
      <c r="B224">
        <v>53.9</v>
      </c>
      <c r="C224" t="s">
        <v>7</v>
      </c>
      <c r="D224">
        <v>1</v>
      </c>
      <c r="E224" t="s">
        <v>480</v>
      </c>
      <c r="Z224" t="str">
        <f t="shared" si="3"/>
        <v>Normal</v>
      </c>
    </row>
    <row r="225" spans="1:26">
      <c r="A225" t="s">
        <v>481</v>
      </c>
      <c r="B225">
        <v>12.96</v>
      </c>
      <c r="C225" t="s">
        <v>7</v>
      </c>
      <c r="D225">
        <v>5</v>
      </c>
      <c r="E225" t="s">
        <v>482</v>
      </c>
      <c r="Z225" t="str">
        <f t="shared" si="3"/>
        <v>Normal</v>
      </c>
    </row>
    <row r="226" spans="1:26">
      <c r="A226" t="s">
        <v>483</v>
      </c>
      <c r="B226">
        <v>37.1</v>
      </c>
      <c r="C226" t="s">
        <v>7</v>
      </c>
      <c r="D226">
        <v>4</v>
      </c>
      <c r="E226" t="s">
        <v>484</v>
      </c>
      <c r="Z226" t="str">
        <f t="shared" si="3"/>
        <v>Normal</v>
      </c>
    </row>
    <row r="227" spans="1:26">
      <c r="A227" t="s">
        <v>485</v>
      </c>
      <c r="B227">
        <v>46.31</v>
      </c>
      <c r="C227" t="s">
        <v>7</v>
      </c>
      <c r="D227">
        <v>2</v>
      </c>
      <c r="E227" t="s">
        <v>486</v>
      </c>
      <c r="Z227" t="str">
        <f t="shared" si="3"/>
        <v>Normal</v>
      </c>
    </row>
    <row r="228" spans="1:26">
      <c r="A228" t="s">
        <v>487</v>
      </c>
      <c r="B228">
        <v>45.95</v>
      </c>
      <c r="C228" t="s">
        <v>7</v>
      </c>
      <c r="D228">
        <v>2</v>
      </c>
      <c r="E228" t="s">
        <v>488</v>
      </c>
      <c r="Z228" t="str">
        <f t="shared" si="3"/>
        <v>Normal</v>
      </c>
    </row>
    <row r="229" spans="1:26">
      <c r="A229" t="s">
        <v>489</v>
      </c>
      <c r="B229">
        <v>22.08</v>
      </c>
      <c r="C229" t="s">
        <v>7</v>
      </c>
      <c r="D229">
        <v>2</v>
      </c>
      <c r="E229" t="s">
        <v>490</v>
      </c>
      <c r="Z229" t="str">
        <f t="shared" si="3"/>
        <v>Normal</v>
      </c>
    </row>
    <row r="230" spans="1:26">
      <c r="A230" t="s">
        <v>491</v>
      </c>
      <c r="B230">
        <v>25.38</v>
      </c>
      <c r="C230" t="s">
        <v>7</v>
      </c>
      <c r="D230">
        <v>2</v>
      </c>
      <c r="E230" t="s">
        <v>492</v>
      </c>
      <c r="Z230" t="str">
        <f t="shared" si="3"/>
        <v>Normal</v>
      </c>
    </row>
    <row r="231" spans="1:26">
      <c r="A231" t="s">
        <v>493</v>
      </c>
      <c r="B231">
        <v>27.12</v>
      </c>
      <c r="C231" t="s">
        <v>7</v>
      </c>
      <c r="D231">
        <v>2</v>
      </c>
      <c r="E231" t="s">
        <v>494</v>
      </c>
      <c r="Z231" t="str">
        <f t="shared" si="3"/>
        <v>Normal</v>
      </c>
    </row>
    <row r="232" spans="1:26">
      <c r="A232" t="s">
        <v>495</v>
      </c>
      <c r="B232">
        <v>43.04</v>
      </c>
      <c r="C232" t="s">
        <v>7</v>
      </c>
      <c r="D232">
        <v>2</v>
      </c>
      <c r="E232" t="s">
        <v>496</v>
      </c>
      <c r="Z232" t="str">
        <f t="shared" si="3"/>
        <v>Normal</v>
      </c>
    </row>
    <row r="233" spans="1:26">
      <c r="A233" t="s">
        <v>497</v>
      </c>
      <c r="B233">
        <v>56.8</v>
      </c>
      <c r="C233" t="s">
        <v>7</v>
      </c>
      <c r="D233">
        <v>4</v>
      </c>
      <c r="E233" t="s">
        <v>498</v>
      </c>
      <c r="Z233" t="str">
        <f t="shared" si="3"/>
        <v>Normal</v>
      </c>
    </row>
    <row r="234" spans="1:26">
      <c r="A234" t="s">
        <v>499</v>
      </c>
      <c r="B234">
        <v>25.91</v>
      </c>
      <c r="C234" t="s">
        <v>7</v>
      </c>
      <c r="D234">
        <v>5</v>
      </c>
      <c r="E234" t="s">
        <v>500</v>
      </c>
      <c r="Z234" t="str">
        <f t="shared" si="3"/>
        <v>Normal</v>
      </c>
    </row>
    <row r="235" spans="1:26">
      <c r="A235" t="s">
        <v>501</v>
      </c>
      <c r="B235">
        <v>32.61</v>
      </c>
      <c r="C235" t="s">
        <v>7</v>
      </c>
      <c r="D235">
        <v>3</v>
      </c>
      <c r="E235" t="s">
        <v>502</v>
      </c>
      <c r="Z235" t="str">
        <f t="shared" si="3"/>
        <v>Normal</v>
      </c>
    </row>
    <row r="236" spans="1:26">
      <c r="A236" t="s">
        <v>503</v>
      </c>
      <c r="B236">
        <v>27.88</v>
      </c>
      <c r="C236" t="s">
        <v>7</v>
      </c>
      <c r="D236">
        <v>5</v>
      </c>
      <c r="E236" t="s">
        <v>504</v>
      </c>
      <c r="Z236" t="str">
        <f t="shared" si="3"/>
        <v>Normal</v>
      </c>
    </row>
    <row r="237" spans="1:26">
      <c r="A237" t="s">
        <v>505</v>
      </c>
      <c r="B237">
        <v>52.67</v>
      </c>
      <c r="C237" t="s">
        <v>7</v>
      </c>
      <c r="D237">
        <v>4</v>
      </c>
      <c r="E237" t="s">
        <v>506</v>
      </c>
      <c r="Z237" t="str">
        <f t="shared" si="3"/>
        <v>Normal</v>
      </c>
    </row>
    <row r="238" spans="1:26">
      <c r="A238" t="s">
        <v>507</v>
      </c>
      <c r="B238">
        <v>46.02</v>
      </c>
      <c r="C238" t="s">
        <v>7</v>
      </c>
      <c r="D238">
        <v>5</v>
      </c>
      <c r="E238" t="s">
        <v>508</v>
      </c>
      <c r="Z238" t="str">
        <f t="shared" si="3"/>
        <v>Normal</v>
      </c>
    </row>
    <row r="239" spans="1:26">
      <c r="A239" t="s">
        <v>509</v>
      </c>
      <c r="B239">
        <v>44.48</v>
      </c>
      <c r="C239" t="s">
        <v>7</v>
      </c>
      <c r="D239">
        <v>5</v>
      </c>
      <c r="E239" t="s">
        <v>510</v>
      </c>
      <c r="Z239" t="str">
        <f t="shared" si="3"/>
        <v>Normal</v>
      </c>
    </row>
    <row r="240" spans="1:26">
      <c r="A240" t="s">
        <v>511</v>
      </c>
      <c r="B240">
        <v>37.4</v>
      </c>
      <c r="C240" t="s">
        <v>7</v>
      </c>
      <c r="D240">
        <v>5</v>
      </c>
      <c r="E240" t="s">
        <v>512</v>
      </c>
      <c r="Z240" t="str">
        <f t="shared" si="3"/>
        <v>Normal</v>
      </c>
    </row>
    <row r="241" spans="1:26">
      <c r="A241" t="s">
        <v>513</v>
      </c>
      <c r="B241">
        <v>54.04</v>
      </c>
      <c r="C241" t="s">
        <v>7</v>
      </c>
      <c r="D241">
        <v>1</v>
      </c>
      <c r="E241" t="s">
        <v>514</v>
      </c>
      <c r="Z241" t="str">
        <f t="shared" si="3"/>
        <v>Normal</v>
      </c>
    </row>
    <row r="242" spans="1:26">
      <c r="A242" t="s">
        <v>515</v>
      </c>
      <c r="B242">
        <v>16.88</v>
      </c>
      <c r="C242" t="s">
        <v>7</v>
      </c>
      <c r="D242">
        <v>3</v>
      </c>
      <c r="E242" t="s">
        <v>516</v>
      </c>
      <c r="Z242" t="str">
        <f t="shared" si="3"/>
        <v>Normal</v>
      </c>
    </row>
    <row r="243" spans="1:26">
      <c r="A243" t="s">
        <v>517</v>
      </c>
      <c r="B243">
        <v>28.08</v>
      </c>
      <c r="C243" t="s">
        <v>7</v>
      </c>
      <c r="D243">
        <v>4</v>
      </c>
      <c r="E243" t="s">
        <v>518</v>
      </c>
      <c r="Z243" t="str">
        <f t="shared" si="3"/>
        <v>Normal</v>
      </c>
    </row>
    <row r="244" spans="1:26">
      <c r="A244" t="s">
        <v>519</v>
      </c>
      <c r="B244">
        <v>10.4</v>
      </c>
      <c r="C244" t="s">
        <v>7</v>
      </c>
      <c r="D244">
        <v>1</v>
      </c>
      <c r="E244" t="s">
        <v>520</v>
      </c>
      <c r="Z244" t="str">
        <f t="shared" si="3"/>
        <v>Normal</v>
      </c>
    </row>
    <row r="245" spans="1:26">
      <c r="A245" t="s">
        <v>521</v>
      </c>
      <c r="B245">
        <v>44.07</v>
      </c>
      <c r="C245" t="s">
        <v>7</v>
      </c>
      <c r="D245">
        <v>1</v>
      </c>
      <c r="E245" t="s">
        <v>522</v>
      </c>
      <c r="Z245" t="str">
        <f t="shared" si="3"/>
        <v>Normal</v>
      </c>
    </row>
    <row r="246" spans="1:26">
      <c r="A246" t="s">
        <v>523</v>
      </c>
      <c r="B246">
        <v>23.4</v>
      </c>
      <c r="C246" t="s">
        <v>7</v>
      </c>
      <c r="D246">
        <v>1</v>
      </c>
      <c r="E246" t="s">
        <v>524</v>
      </c>
      <c r="Z246" t="str">
        <f t="shared" si="3"/>
        <v>Normal</v>
      </c>
    </row>
    <row r="247" spans="1:26">
      <c r="A247" t="s">
        <v>525</v>
      </c>
      <c r="B247">
        <v>17.43</v>
      </c>
      <c r="C247" t="s">
        <v>7</v>
      </c>
      <c r="D247">
        <v>3</v>
      </c>
      <c r="E247" t="s">
        <v>526</v>
      </c>
      <c r="Z247" t="str">
        <f t="shared" si="3"/>
        <v>Normal</v>
      </c>
    </row>
    <row r="248" spans="1:26">
      <c r="A248" t="s">
        <v>527</v>
      </c>
      <c r="B248">
        <v>54.21</v>
      </c>
      <c r="C248" t="s">
        <v>7</v>
      </c>
      <c r="D248">
        <v>2</v>
      </c>
      <c r="E248" t="s">
        <v>528</v>
      </c>
      <c r="Z248" t="str">
        <f t="shared" si="3"/>
        <v>Normal</v>
      </c>
    </row>
    <row r="249" spans="1:26">
      <c r="A249" t="s">
        <v>529</v>
      </c>
      <c r="B249">
        <v>40.67</v>
      </c>
      <c r="C249" t="s">
        <v>7</v>
      </c>
      <c r="D249">
        <v>2</v>
      </c>
      <c r="E249" t="s">
        <v>530</v>
      </c>
      <c r="Z249" t="str">
        <f t="shared" si="3"/>
        <v>Normal</v>
      </c>
    </row>
    <row r="250" spans="1:26">
      <c r="A250" t="s">
        <v>531</v>
      </c>
      <c r="B250">
        <v>52.26</v>
      </c>
      <c r="C250" t="s">
        <v>7</v>
      </c>
      <c r="D250">
        <v>2</v>
      </c>
      <c r="E250" t="s">
        <v>532</v>
      </c>
      <c r="Z250" t="str">
        <f t="shared" si="3"/>
        <v>Normal</v>
      </c>
    </row>
    <row r="251" spans="1:26">
      <c r="A251" t="s">
        <v>533</v>
      </c>
      <c r="B251">
        <v>28.77</v>
      </c>
      <c r="C251" t="s">
        <v>7</v>
      </c>
      <c r="D251">
        <v>3</v>
      </c>
      <c r="E251" t="s">
        <v>534</v>
      </c>
      <c r="Z251" t="str">
        <f t="shared" si="3"/>
        <v>Normal</v>
      </c>
    </row>
    <row r="252" spans="1:26">
      <c r="A252" t="s">
        <v>535</v>
      </c>
      <c r="B252">
        <v>13.82</v>
      </c>
      <c r="C252" t="s">
        <v>7</v>
      </c>
      <c r="D252">
        <v>2</v>
      </c>
      <c r="E252" t="s">
        <v>536</v>
      </c>
      <c r="Z252" t="str">
        <f t="shared" si="3"/>
        <v>Normal</v>
      </c>
    </row>
    <row r="253" spans="1:26">
      <c r="A253" t="s">
        <v>537</v>
      </c>
      <c r="B253">
        <v>25.85</v>
      </c>
      <c r="C253" t="s">
        <v>7</v>
      </c>
      <c r="D253">
        <v>3</v>
      </c>
      <c r="E253" t="s">
        <v>538</v>
      </c>
      <c r="Z253" t="str">
        <f t="shared" si="3"/>
        <v>Normal</v>
      </c>
    </row>
    <row r="254" spans="1:26">
      <c r="A254" t="s">
        <v>539</v>
      </c>
      <c r="B254">
        <v>48.78</v>
      </c>
      <c r="C254" t="s">
        <v>7</v>
      </c>
      <c r="D254">
        <v>1</v>
      </c>
      <c r="E254" t="s">
        <v>540</v>
      </c>
      <c r="Z254" t="str">
        <f t="shared" si="3"/>
        <v>Normal</v>
      </c>
    </row>
    <row r="255" spans="1:26">
      <c r="A255" t="s">
        <v>541</v>
      </c>
      <c r="B255">
        <v>35.35</v>
      </c>
      <c r="C255" t="s">
        <v>7</v>
      </c>
      <c r="D255">
        <v>5</v>
      </c>
      <c r="E255" t="s">
        <v>542</v>
      </c>
      <c r="Z255" t="str">
        <f t="shared" si="3"/>
        <v>Normal</v>
      </c>
    </row>
    <row r="256" spans="1:26">
      <c r="A256" t="s">
        <v>543</v>
      </c>
      <c r="B256">
        <v>44.73</v>
      </c>
      <c r="C256" t="s">
        <v>7</v>
      </c>
      <c r="D256">
        <v>4</v>
      </c>
      <c r="E256" t="s">
        <v>544</v>
      </c>
      <c r="Z256" t="str">
        <f t="shared" si="3"/>
        <v>Normal</v>
      </c>
    </row>
    <row r="257" spans="1:26">
      <c r="A257" t="s">
        <v>545</v>
      </c>
      <c r="B257">
        <v>15.77</v>
      </c>
      <c r="C257" t="s">
        <v>7</v>
      </c>
      <c r="D257">
        <v>1</v>
      </c>
      <c r="E257" t="s">
        <v>546</v>
      </c>
      <c r="Z257" t="str">
        <f t="shared" si="3"/>
        <v>Normal</v>
      </c>
    </row>
    <row r="258" spans="1:26">
      <c r="A258" t="s">
        <v>547</v>
      </c>
      <c r="B258">
        <v>39.24</v>
      </c>
      <c r="C258" t="s">
        <v>7</v>
      </c>
      <c r="D258">
        <v>1</v>
      </c>
      <c r="E258" t="s">
        <v>548</v>
      </c>
      <c r="Z258" t="str">
        <f t="shared" si="3"/>
        <v>Normal</v>
      </c>
    </row>
    <row r="259" spans="1:26">
      <c r="A259" t="s">
        <v>549</v>
      </c>
      <c r="B259">
        <v>13.92</v>
      </c>
      <c r="C259" t="s">
        <v>7</v>
      </c>
      <c r="D259">
        <v>1</v>
      </c>
      <c r="E259" t="s">
        <v>550</v>
      </c>
      <c r="Z259" t="str">
        <f t="shared" si="3"/>
        <v>Normal</v>
      </c>
    </row>
    <row r="260" spans="1:26">
      <c r="A260" t="s">
        <v>551</v>
      </c>
      <c r="B260">
        <v>10.69</v>
      </c>
      <c r="C260" t="s">
        <v>7</v>
      </c>
      <c r="D260">
        <v>1</v>
      </c>
      <c r="E260" t="s">
        <v>552</v>
      </c>
      <c r="Z260" t="str">
        <f t="shared" si="3"/>
        <v>Normal</v>
      </c>
    </row>
    <row r="261" spans="1:26">
      <c r="A261" t="s">
        <v>553</v>
      </c>
      <c r="B261">
        <v>45.21</v>
      </c>
      <c r="C261" t="s">
        <v>7</v>
      </c>
      <c r="D261">
        <v>3</v>
      </c>
      <c r="E261" t="s">
        <v>554</v>
      </c>
      <c r="Z261" t="str">
        <f t="shared" si="3"/>
        <v>Normal</v>
      </c>
    </row>
    <row r="262" spans="1:26">
      <c r="A262" t="s">
        <v>555</v>
      </c>
      <c r="B262">
        <v>45.58</v>
      </c>
      <c r="C262" t="s">
        <v>7</v>
      </c>
      <c r="D262">
        <v>1</v>
      </c>
      <c r="E262" t="s">
        <v>556</v>
      </c>
      <c r="Z262" t="str">
        <f t="shared" si="3"/>
        <v>Normal</v>
      </c>
    </row>
    <row r="263" spans="1:26">
      <c r="A263" t="s">
        <v>557</v>
      </c>
      <c r="B263">
        <v>11.89</v>
      </c>
      <c r="C263" t="s">
        <v>7</v>
      </c>
      <c r="D263">
        <v>5</v>
      </c>
      <c r="E263" t="s">
        <v>558</v>
      </c>
      <c r="Z263" t="str">
        <f t="shared" si="3"/>
        <v>Normal</v>
      </c>
    </row>
    <row r="264" spans="1:26">
      <c r="A264" t="s">
        <v>559</v>
      </c>
      <c r="B264">
        <v>26.41</v>
      </c>
      <c r="C264" t="s">
        <v>7</v>
      </c>
      <c r="D264">
        <v>3</v>
      </c>
      <c r="E264" t="s">
        <v>560</v>
      </c>
      <c r="Z264" t="str">
        <f t="shared" ref="Z264:Z327" si="4">IF(OR(B264&lt;$U$13, B264&gt;$U$14),"Outlier","Normal")</f>
        <v>Normal</v>
      </c>
    </row>
    <row r="265" spans="1:26">
      <c r="A265" t="s">
        <v>561</v>
      </c>
      <c r="B265">
        <v>39.5</v>
      </c>
      <c r="C265" t="s">
        <v>7</v>
      </c>
      <c r="D265">
        <v>5</v>
      </c>
      <c r="E265" t="s">
        <v>562</v>
      </c>
      <c r="Z265" t="str">
        <f t="shared" si="4"/>
        <v>Normal</v>
      </c>
    </row>
    <row r="266" spans="1:26">
      <c r="A266" t="s">
        <v>563</v>
      </c>
      <c r="B266">
        <v>44.74</v>
      </c>
      <c r="C266" t="s">
        <v>7</v>
      </c>
      <c r="D266">
        <v>4</v>
      </c>
      <c r="E266" t="s">
        <v>564</v>
      </c>
      <c r="Z266" t="str">
        <f t="shared" si="4"/>
        <v>Normal</v>
      </c>
    </row>
    <row r="267" spans="1:26">
      <c r="A267" t="s">
        <v>565</v>
      </c>
      <c r="B267">
        <v>52.79</v>
      </c>
      <c r="C267" t="s">
        <v>7</v>
      </c>
      <c r="D267">
        <v>5</v>
      </c>
      <c r="E267" t="s">
        <v>566</v>
      </c>
      <c r="Z267" t="str">
        <f t="shared" si="4"/>
        <v>Normal</v>
      </c>
    </row>
    <row r="268" spans="1:26">
      <c r="A268" t="s">
        <v>567</v>
      </c>
      <c r="B268">
        <v>35.43</v>
      </c>
      <c r="C268" t="s">
        <v>7</v>
      </c>
      <c r="D268">
        <v>4</v>
      </c>
      <c r="E268" t="s">
        <v>568</v>
      </c>
      <c r="Z268" t="str">
        <f t="shared" si="4"/>
        <v>Normal</v>
      </c>
    </row>
    <row r="269" spans="1:26">
      <c r="A269" t="s">
        <v>569</v>
      </c>
      <c r="B269">
        <v>55.84</v>
      </c>
      <c r="C269" t="s">
        <v>7</v>
      </c>
      <c r="D269">
        <v>4</v>
      </c>
      <c r="E269" t="s">
        <v>570</v>
      </c>
      <c r="Z269" t="str">
        <f t="shared" si="4"/>
        <v>Normal</v>
      </c>
    </row>
    <row r="270" spans="1:26">
      <c r="A270" t="s">
        <v>571</v>
      </c>
      <c r="B270">
        <v>48.87</v>
      </c>
      <c r="C270" t="s">
        <v>7</v>
      </c>
      <c r="D270">
        <v>3</v>
      </c>
      <c r="E270" t="s">
        <v>572</v>
      </c>
      <c r="Z270" t="str">
        <f t="shared" si="4"/>
        <v>Normal</v>
      </c>
    </row>
    <row r="271" spans="1:26">
      <c r="A271" t="s">
        <v>573</v>
      </c>
      <c r="B271">
        <v>46.78</v>
      </c>
      <c r="C271" t="s">
        <v>7</v>
      </c>
      <c r="D271">
        <v>4</v>
      </c>
      <c r="E271" t="s">
        <v>574</v>
      </c>
      <c r="Z271" t="str">
        <f t="shared" si="4"/>
        <v>Normal</v>
      </c>
    </row>
    <row r="272" spans="1:26">
      <c r="A272" t="s">
        <v>575</v>
      </c>
      <c r="B272">
        <v>47.82</v>
      </c>
      <c r="C272" t="s">
        <v>7</v>
      </c>
      <c r="D272">
        <v>3</v>
      </c>
      <c r="E272" t="s">
        <v>576</v>
      </c>
      <c r="Z272" t="str">
        <f t="shared" si="4"/>
        <v>Normal</v>
      </c>
    </row>
    <row r="273" spans="1:26">
      <c r="A273" t="s">
        <v>577</v>
      </c>
      <c r="B273">
        <v>25.48</v>
      </c>
      <c r="C273" t="s">
        <v>7</v>
      </c>
      <c r="D273">
        <v>2</v>
      </c>
      <c r="E273" t="s">
        <v>578</v>
      </c>
      <c r="Z273" t="str">
        <f t="shared" si="4"/>
        <v>Normal</v>
      </c>
    </row>
    <row r="274" spans="1:26">
      <c r="A274" t="s">
        <v>579</v>
      </c>
      <c r="B274">
        <v>23.57</v>
      </c>
      <c r="C274" t="s">
        <v>7</v>
      </c>
      <c r="D274">
        <v>3</v>
      </c>
      <c r="E274" t="s">
        <v>580</v>
      </c>
      <c r="Z274" t="str">
        <f t="shared" si="4"/>
        <v>Normal</v>
      </c>
    </row>
    <row r="275" spans="1:26">
      <c r="A275" t="s">
        <v>581</v>
      </c>
      <c r="B275">
        <v>50.89</v>
      </c>
      <c r="C275" t="s">
        <v>7</v>
      </c>
      <c r="D275">
        <v>5</v>
      </c>
      <c r="E275" t="s">
        <v>582</v>
      </c>
      <c r="Z275" t="str">
        <f t="shared" si="4"/>
        <v>Normal</v>
      </c>
    </row>
    <row r="276" spans="1:26">
      <c r="A276" t="s">
        <v>583</v>
      </c>
      <c r="B276">
        <v>10.56</v>
      </c>
      <c r="C276" t="s">
        <v>7</v>
      </c>
      <c r="D276">
        <v>3</v>
      </c>
      <c r="E276" t="s">
        <v>584</v>
      </c>
      <c r="Z276" t="str">
        <f t="shared" si="4"/>
        <v>Normal</v>
      </c>
    </row>
    <row r="277" spans="1:26">
      <c r="A277" t="s">
        <v>585</v>
      </c>
      <c r="B277">
        <v>52.15</v>
      </c>
      <c r="C277" t="s">
        <v>7</v>
      </c>
      <c r="D277">
        <v>3</v>
      </c>
      <c r="E277" t="s">
        <v>586</v>
      </c>
      <c r="Z277" t="str">
        <f t="shared" si="4"/>
        <v>Normal</v>
      </c>
    </row>
    <row r="278" spans="1:26">
      <c r="A278" t="s">
        <v>587</v>
      </c>
      <c r="B278">
        <v>18.28</v>
      </c>
      <c r="C278" t="s">
        <v>7</v>
      </c>
      <c r="D278">
        <v>2</v>
      </c>
      <c r="E278" t="s">
        <v>588</v>
      </c>
      <c r="Z278" t="str">
        <f t="shared" si="4"/>
        <v>Normal</v>
      </c>
    </row>
    <row r="279" spans="1:26">
      <c r="A279" t="s">
        <v>589</v>
      </c>
      <c r="B279">
        <v>11.83</v>
      </c>
      <c r="C279" t="s">
        <v>7</v>
      </c>
      <c r="D279">
        <v>5</v>
      </c>
      <c r="E279" t="s">
        <v>590</v>
      </c>
      <c r="Z279" t="str">
        <f t="shared" si="4"/>
        <v>Normal</v>
      </c>
    </row>
    <row r="280" spans="1:26">
      <c r="A280" t="s">
        <v>591</v>
      </c>
      <c r="B280">
        <v>21.95</v>
      </c>
      <c r="C280" t="s">
        <v>7</v>
      </c>
      <c r="D280">
        <v>2</v>
      </c>
      <c r="E280" t="s">
        <v>592</v>
      </c>
      <c r="Z280" t="str">
        <f t="shared" si="4"/>
        <v>Normal</v>
      </c>
    </row>
    <row r="281" spans="1:26">
      <c r="A281" t="s">
        <v>593</v>
      </c>
      <c r="B281">
        <v>38.39</v>
      </c>
      <c r="C281" t="s">
        <v>7</v>
      </c>
      <c r="D281">
        <v>2</v>
      </c>
      <c r="E281" t="s">
        <v>594</v>
      </c>
      <c r="Z281" t="str">
        <f t="shared" si="4"/>
        <v>Normal</v>
      </c>
    </row>
    <row r="282" spans="1:26">
      <c r="A282" t="s">
        <v>595</v>
      </c>
      <c r="B282">
        <v>41.56</v>
      </c>
      <c r="C282" t="s">
        <v>7</v>
      </c>
      <c r="D282">
        <v>1</v>
      </c>
      <c r="E282" t="s">
        <v>596</v>
      </c>
      <c r="Z282" t="str">
        <f t="shared" si="4"/>
        <v>Normal</v>
      </c>
    </row>
    <row r="283" spans="1:26">
      <c r="A283" t="s">
        <v>597</v>
      </c>
      <c r="B283">
        <v>24.48</v>
      </c>
      <c r="C283" t="s">
        <v>7</v>
      </c>
      <c r="D283">
        <v>3</v>
      </c>
      <c r="E283" t="s">
        <v>598</v>
      </c>
      <c r="Z283" t="str">
        <f t="shared" si="4"/>
        <v>Normal</v>
      </c>
    </row>
    <row r="284" spans="1:26">
      <c r="A284" t="s">
        <v>599</v>
      </c>
      <c r="B284">
        <v>40.36</v>
      </c>
      <c r="C284" t="s">
        <v>7</v>
      </c>
      <c r="D284">
        <v>1</v>
      </c>
      <c r="E284" t="s">
        <v>600</v>
      </c>
      <c r="Z284" t="str">
        <f t="shared" si="4"/>
        <v>Normal</v>
      </c>
    </row>
    <row r="285" spans="1:26">
      <c r="A285" t="s">
        <v>601</v>
      </c>
      <c r="B285">
        <v>28.9</v>
      </c>
      <c r="C285" t="s">
        <v>7</v>
      </c>
      <c r="D285">
        <v>1</v>
      </c>
      <c r="E285" t="s">
        <v>602</v>
      </c>
      <c r="Z285" t="str">
        <f t="shared" si="4"/>
        <v>Normal</v>
      </c>
    </row>
    <row r="286" spans="1:26">
      <c r="A286" t="s">
        <v>603</v>
      </c>
      <c r="B286">
        <v>37.61</v>
      </c>
      <c r="C286" t="s">
        <v>7</v>
      </c>
      <c r="D286">
        <v>2</v>
      </c>
      <c r="E286" t="s">
        <v>604</v>
      </c>
      <c r="Z286" t="str">
        <f t="shared" si="4"/>
        <v>Normal</v>
      </c>
    </row>
    <row r="287" spans="1:26">
      <c r="A287" t="s">
        <v>605</v>
      </c>
      <c r="B287">
        <v>38.85</v>
      </c>
      <c r="C287" t="s">
        <v>7</v>
      </c>
      <c r="D287">
        <v>5</v>
      </c>
      <c r="E287" t="s">
        <v>606</v>
      </c>
      <c r="Z287" t="str">
        <f t="shared" si="4"/>
        <v>Normal</v>
      </c>
    </row>
    <row r="288" spans="1:26">
      <c r="A288" t="s">
        <v>607</v>
      </c>
      <c r="B288">
        <v>53.95</v>
      </c>
      <c r="C288" t="s">
        <v>7</v>
      </c>
      <c r="D288">
        <v>3</v>
      </c>
      <c r="E288" t="s">
        <v>608</v>
      </c>
      <c r="Z288" t="str">
        <f t="shared" si="4"/>
        <v>Normal</v>
      </c>
    </row>
    <row r="289" spans="1:26">
      <c r="A289" t="s">
        <v>609</v>
      </c>
      <c r="B289">
        <v>49.83</v>
      </c>
      <c r="C289" t="s">
        <v>7</v>
      </c>
      <c r="D289">
        <v>3</v>
      </c>
      <c r="E289" t="s">
        <v>610</v>
      </c>
      <c r="Z289" t="str">
        <f t="shared" si="4"/>
        <v>Normal</v>
      </c>
    </row>
    <row r="290" spans="1:26">
      <c r="A290" t="s">
        <v>611</v>
      </c>
      <c r="B290">
        <v>51.51</v>
      </c>
      <c r="C290" t="s">
        <v>7</v>
      </c>
      <c r="D290">
        <v>2</v>
      </c>
      <c r="E290" t="s">
        <v>612</v>
      </c>
      <c r="Z290" t="str">
        <f t="shared" si="4"/>
        <v>Normal</v>
      </c>
    </row>
    <row r="291" spans="1:26">
      <c r="A291" t="s">
        <v>613</v>
      </c>
      <c r="B291">
        <v>18.03</v>
      </c>
      <c r="C291" t="s">
        <v>7</v>
      </c>
      <c r="D291">
        <v>1</v>
      </c>
      <c r="E291" t="s">
        <v>614</v>
      </c>
      <c r="Z291" t="str">
        <f t="shared" si="4"/>
        <v>Normal</v>
      </c>
    </row>
    <row r="292" spans="1:26">
      <c r="A292" t="s">
        <v>615</v>
      </c>
      <c r="B292">
        <v>29.14</v>
      </c>
      <c r="C292" t="s">
        <v>7</v>
      </c>
      <c r="D292">
        <v>5</v>
      </c>
      <c r="E292" t="s">
        <v>616</v>
      </c>
      <c r="Z292" t="str">
        <f t="shared" si="4"/>
        <v>Normal</v>
      </c>
    </row>
    <row r="293" spans="1:26">
      <c r="A293" t="s">
        <v>617</v>
      </c>
      <c r="B293">
        <v>46.91</v>
      </c>
      <c r="C293" t="s">
        <v>7</v>
      </c>
      <c r="D293">
        <v>4</v>
      </c>
      <c r="E293" t="s">
        <v>618</v>
      </c>
      <c r="Z293" t="str">
        <f t="shared" si="4"/>
        <v>Normal</v>
      </c>
    </row>
    <row r="294" spans="1:26">
      <c r="A294" t="s">
        <v>619</v>
      </c>
      <c r="B294">
        <v>26.79</v>
      </c>
      <c r="C294" t="s">
        <v>7</v>
      </c>
      <c r="D294">
        <v>5</v>
      </c>
      <c r="E294" t="s">
        <v>620</v>
      </c>
      <c r="Z294" t="str">
        <f t="shared" si="4"/>
        <v>Normal</v>
      </c>
    </row>
    <row r="295" spans="1:26">
      <c r="A295" t="s">
        <v>621</v>
      </c>
      <c r="B295">
        <v>16.28</v>
      </c>
      <c r="C295" t="s">
        <v>7</v>
      </c>
      <c r="D295">
        <v>5</v>
      </c>
      <c r="E295" t="s">
        <v>622</v>
      </c>
      <c r="Z295" t="str">
        <f t="shared" si="4"/>
        <v>Normal</v>
      </c>
    </row>
    <row r="296" spans="1:26">
      <c r="A296" t="s">
        <v>623</v>
      </c>
      <c r="B296">
        <v>19.55</v>
      </c>
      <c r="C296" t="s">
        <v>7</v>
      </c>
      <c r="D296">
        <v>1</v>
      </c>
      <c r="E296" t="s">
        <v>624</v>
      </c>
      <c r="Z296" t="str">
        <f t="shared" si="4"/>
        <v>Normal</v>
      </c>
    </row>
    <row r="297" spans="1:26">
      <c r="A297" t="s">
        <v>625</v>
      </c>
      <c r="B297">
        <v>29.65</v>
      </c>
      <c r="C297" t="s">
        <v>7</v>
      </c>
      <c r="D297">
        <v>1</v>
      </c>
      <c r="E297" t="s">
        <v>626</v>
      </c>
      <c r="Z297" t="str">
        <f t="shared" si="4"/>
        <v>Normal</v>
      </c>
    </row>
    <row r="298" spans="1:26">
      <c r="A298" t="s">
        <v>627</v>
      </c>
      <c r="B298">
        <v>25.98</v>
      </c>
      <c r="C298" t="s">
        <v>7</v>
      </c>
      <c r="D298">
        <v>4</v>
      </c>
      <c r="E298" t="s">
        <v>628</v>
      </c>
      <c r="Z298" t="str">
        <f t="shared" si="4"/>
        <v>Normal</v>
      </c>
    </row>
    <row r="299" spans="1:26">
      <c r="A299" t="s">
        <v>629</v>
      </c>
      <c r="B299">
        <v>10.6</v>
      </c>
      <c r="C299" t="s">
        <v>7</v>
      </c>
      <c r="D299">
        <v>4</v>
      </c>
      <c r="E299" t="s">
        <v>630</v>
      </c>
      <c r="Z299" t="str">
        <f t="shared" si="4"/>
        <v>Normal</v>
      </c>
    </row>
    <row r="300" spans="1:26">
      <c r="A300" t="s">
        <v>631</v>
      </c>
      <c r="B300">
        <v>14.75</v>
      </c>
      <c r="C300" t="s">
        <v>7</v>
      </c>
      <c r="D300">
        <v>5</v>
      </c>
      <c r="E300" t="s">
        <v>632</v>
      </c>
      <c r="Z300" t="str">
        <f t="shared" si="4"/>
        <v>Normal</v>
      </c>
    </row>
    <row r="301" spans="1:26">
      <c r="A301" t="s">
        <v>633</v>
      </c>
      <c r="B301">
        <v>47.02</v>
      </c>
      <c r="C301" t="s">
        <v>7</v>
      </c>
      <c r="D301">
        <v>3</v>
      </c>
      <c r="E301" t="s">
        <v>634</v>
      </c>
      <c r="Z301" t="str">
        <f t="shared" si="4"/>
        <v>Normal</v>
      </c>
    </row>
    <row r="302" spans="1:26">
      <c r="A302" t="s">
        <v>635</v>
      </c>
      <c r="B302">
        <v>28.82</v>
      </c>
      <c r="C302" t="s">
        <v>7</v>
      </c>
      <c r="D302">
        <v>1</v>
      </c>
      <c r="E302" t="s">
        <v>636</v>
      </c>
      <c r="Z302" t="str">
        <f t="shared" si="4"/>
        <v>Normal</v>
      </c>
    </row>
    <row r="303" spans="1:26">
      <c r="A303" t="s">
        <v>637</v>
      </c>
      <c r="B303">
        <v>58.79</v>
      </c>
      <c r="C303" t="s">
        <v>7</v>
      </c>
      <c r="D303">
        <v>3</v>
      </c>
      <c r="E303" t="s">
        <v>638</v>
      </c>
      <c r="Z303" t="str">
        <f t="shared" si="4"/>
        <v>Normal</v>
      </c>
    </row>
    <row r="304" spans="1:26">
      <c r="A304" t="s">
        <v>639</v>
      </c>
      <c r="B304">
        <v>10.23</v>
      </c>
      <c r="C304" t="s">
        <v>7</v>
      </c>
      <c r="D304">
        <v>5</v>
      </c>
      <c r="E304" t="s">
        <v>640</v>
      </c>
      <c r="Z304" t="str">
        <f t="shared" si="4"/>
        <v>Normal</v>
      </c>
    </row>
    <row r="305" spans="1:26">
      <c r="A305" t="s">
        <v>641</v>
      </c>
      <c r="B305">
        <v>30.03</v>
      </c>
      <c r="C305" t="s">
        <v>7</v>
      </c>
      <c r="D305">
        <v>5</v>
      </c>
      <c r="E305" t="s">
        <v>642</v>
      </c>
      <c r="Z305" t="str">
        <f t="shared" si="4"/>
        <v>Normal</v>
      </c>
    </row>
    <row r="306" spans="1:26">
      <c r="A306" t="s">
        <v>643</v>
      </c>
      <c r="B306">
        <v>45.84</v>
      </c>
      <c r="C306" t="s">
        <v>7</v>
      </c>
      <c r="D306">
        <v>3</v>
      </c>
      <c r="E306" t="s">
        <v>644</v>
      </c>
      <c r="Z306" t="str">
        <f t="shared" si="4"/>
        <v>Normal</v>
      </c>
    </row>
    <row r="307" spans="1:26">
      <c r="A307" t="s">
        <v>645</v>
      </c>
      <c r="B307">
        <v>49.05</v>
      </c>
      <c r="C307" t="s">
        <v>7</v>
      </c>
      <c r="D307">
        <v>3</v>
      </c>
      <c r="E307" t="s">
        <v>646</v>
      </c>
      <c r="Z307" t="str">
        <f t="shared" si="4"/>
        <v>Normal</v>
      </c>
    </row>
    <row r="308" spans="1:26">
      <c r="A308" t="s">
        <v>647</v>
      </c>
      <c r="B308">
        <v>15.06</v>
      </c>
      <c r="C308" t="s">
        <v>7</v>
      </c>
      <c r="D308">
        <v>4</v>
      </c>
      <c r="E308" t="s">
        <v>648</v>
      </c>
      <c r="Z308" t="str">
        <f t="shared" si="4"/>
        <v>Normal</v>
      </c>
    </row>
    <row r="309" spans="1:26">
      <c r="A309" t="s">
        <v>649</v>
      </c>
      <c r="B309">
        <v>46.47</v>
      </c>
      <c r="C309" t="s">
        <v>7</v>
      </c>
      <c r="D309">
        <v>3</v>
      </c>
      <c r="E309" t="s">
        <v>650</v>
      </c>
      <c r="Z309" t="str">
        <f t="shared" si="4"/>
        <v>Normal</v>
      </c>
    </row>
    <row r="310" spans="1:26">
      <c r="A310" t="s">
        <v>651</v>
      </c>
      <c r="B310">
        <v>27.09</v>
      </c>
      <c r="C310" t="s">
        <v>7</v>
      </c>
      <c r="D310">
        <v>3</v>
      </c>
      <c r="E310" t="s">
        <v>652</v>
      </c>
      <c r="Z310" t="str">
        <f t="shared" si="4"/>
        <v>Normal</v>
      </c>
    </row>
    <row r="311" spans="1:26">
      <c r="A311" t="s">
        <v>653</v>
      </c>
      <c r="B311">
        <v>57.62</v>
      </c>
      <c r="C311" t="s">
        <v>7</v>
      </c>
      <c r="D311">
        <v>5</v>
      </c>
      <c r="E311" t="s">
        <v>654</v>
      </c>
      <c r="Z311" t="str">
        <f t="shared" si="4"/>
        <v>Normal</v>
      </c>
    </row>
    <row r="312" spans="1:26">
      <c r="A312" t="s">
        <v>655</v>
      </c>
      <c r="B312">
        <v>14.39</v>
      </c>
      <c r="C312" t="s">
        <v>7</v>
      </c>
      <c r="D312">
        <v>4</v>
      </c>
      <c r="E312" t="s">
        <v>656</v>
      </c>
      <c r="Z312" t="str">
        <f t="shared" si="4"/>
        <v>Normal</v>
      </c>
    </row>
    <row r="313" spans="1:26">
      <c r="A313" t="s">
        <v>657</v>
      </c>
      <c r="B313">
        <v>51.75</v>
      </c>
      <c r="C313" t="s">
        <v>7</v>
      </c>
      <c r="D313">
        <v>5</v>
      </c>
      <c r="E313" t="s">
        <v>658</v>
      </c>
      <c r="Z313" t="str">
        <f t="shared" si="4"/>
        <v>Normal</v>
      </c>
    </row>
    <row r="314" spans="1:26">
      <c r="A314" t="s">
        <v>659</v>
      </c>
      <c r="B314">
        <v>54.07</v>
      </c>
      <c r="C314" t="s">
        <v>7</v>
      </c>
      <c r="D314">
        <v>2</v>
      </c>
      <c r="E314" t="s">
        <v>660</v>
      </c>
      <c r="Z314" t="str">
        <f t="shared" si="4"/>
        <v>Normal</v>
      </c>
    </row>
    <row r="315" spans="1:26">
      <c r="A315" t="s">
        <v>661</v>
      </c>
      <c r="B315">
        <v>55.35</v>
      </c>
      <c r="C315" t="s">
        <v>7</v>
      </c>
      <c r="D315">
        <v>1</v>
      </c>
      <c r="E315" t="s">
        <v>662</v>
      </c>
      <c r="Z315" t="str">
        <f t="shared" si="4"/>
        <v>Normal</v>
      </c>
    </row>
    <row r="316" spans="1:26">
      <c r="A316" t="s">
        <v>663</v>
      </c>
      <c r="B316">
        <v>40.119999999999997</v>
      </c>
      <c r="C316" t="s">
        <v>7</v>
      </c>
      <c r="D316">
        <v>2</v>
      </c>
      <c r="E316" t="s">
        <v>664</v>
      </c>
      <c r="Z316" t="str">
        <f t="shared" si="4"/>
        <v>Normal</v>
      </c>
    </row>
    <row r="317" spans="1:26">
      <c r="A317" t="s">
        <v>665</v>
      </c>
      <c r="B317">
        <v>37.51</v>
      </c>
      <c r="C317" t="s">
        <v>7</v>
      </c>
      <c r="D317">
        <v>5</v>
      </c>
      <c r="E317" t="s">
        <v>666</v>
      </c>
      <c r="Z317" t="str">
        <f t="shared" si="4"/>
        <v>Normal</v>
      </c>
    </row>
    <row r="318" spans="1:26">
      <c r="A318" t="s">
        <v>667</v>
      </c>
      <c r="B318">
        <v>11.21</v>
      </c>
      <c r="C318" t="s">
        <v>7</v>
      </c>
      <c r="D318">
        <v>5</v>
      </c>
      <c r="E318" t="s">
        <v>668</v>
      </c>
      <c r="Z318" t="str">
        <f t="shared" si="4"/>
        <v>Normal</v>
      </c>
    </row>
    <row r="319" spans="1:26">
      <c r="A319" t="s">
        <v>669</v>
      </c>
      <c r="B319">
        <v>36.58</v>
      </c>
      <c r="C319" t="s">
        <v>7</v>
      </c>
      <c r="D319">
        <v>1</v>
      </c>
      <c r="E319" t="s">
        <v>670</v>
      </c>
      <c r="Z319" t="str">
        <f t="shared" si="4"/>
        <v>Normal</v>
      </c>
    </row>
    <row r="320" spans="1:26">
      <c r="A320" t="s">
        <v>671</v>
      </c>
      <c r="B320">
        <v>47.72</v>
      </c>
      <c r="C320" t="s">
        <v>7</v>
      </c>
      <c r="D320">
        <v>2</v>
      </c>
      <c r="E320" t="s">
        <v>672</v>
      </c>
      <c r="Z320" t="str">
        <f t="shared" si="4"/>
        <v>Normal</v>
      </c>
    </row>
    <row r="321" spans="1:26">
      <c r="A321" t="s">
        <v>673</v>
      </c>
      <c r="B321">
        <v>25.01</v>
      </c>
      <c r="C321" t="s">
        <v>7</v>
      </c>
      <c r="D321">
        <v>3</v>
      </c>
      <c r="E321" t="s">
        <v>674</v>
      </c>
      <c r="Z321" t="str">
        <f t="shared" si="4"/>
        <v>Normal</v>
      </c>
    </row>
    <row r="322" spans="1:26">
      <c r="A322" t="s">
        <v>675</v>
      </c>
      <c r="B322">
        <v>22.13</v>
      </c>
      <c r="C322" t="s">
        <v>7</v>
      </c>
      <c r="D322">
        <v>4</v>
      </c>
      <c r="E322" t="s">
        <v>676</v>
      </c>
      <c r="Z322" t="str">
        <f t="shared" si="4"/>
        <v>Normal</v>
      </c>
    </row>
    <row r="323" spans="1:26">
      <c r="A323" t="s">
        <v>677</v>
      </c>
      <c r="B323">
        <v>44.14</v>
      </c>
      <c r="C323" t="s">
        <v>7</v>
      </c>
      <c r="D323">
        <v>1</v>
      </c>
      <c r="E323" t="s">
        <v>678</v>
      </c>
      <c r="Z323" t="str">
        <f t="shared" si="4"/>
        <v>Normal</v>
      </c>
    </row>
    <row r="324" spans="1:26">
      <c r="A324" t="s">
        <v>679</v>
      </c>
      <c r="B324">
        <v>56.02</v>
      </c>
      <c r="C324" t="s">
        <v>7</v>
      </c>
      <c r="D324">
        <v>4</v>
      </c>
      <c r="E324" t="s">
        <v>680</v>
      </c>
      <c r="Z324" t="str">
        <f t="shared" si="4"/>
        <v>Normal</v>
      </c>
    </row>
    <row r="325" spans="1:26">
      <c r="A325" t="s">
        <v>681</v>
      </c>
      <c r="B325">
        <v>11.23</v>
      </c>
      <c r="C325" t="s">
        <v>7</v>
      </c>
      <c r="D325">
        <v>4</v>
      </c>
      <c r="E325" t="s">
        <v>682</v>
      </c>
      <c r="Z325" t="str">
        <f t="shared" si="4"/>
        <v>Normal</v>
      </c>
    </row>
    <row r="326" spans="1:26">
      <c r="A326" t="s">
        <v>683</v>
      </c>
      <c r="B326">
        <v>43.28</v>
      </c>
      <c r="C326" t="s">
        <v>7</v>
      </c>
      <c r="D326">
        <v>1</v>
      </c>
      <c r="E326" t="s">
        <v>684</v>
      </c>
      <c r="Z326" t="str">
        <f t="shared" si="4"/>
        <v>Normal</v>
      </c>
    </row>
    <row r="327" spans="1:26">
      <c r="A327" t="s">
        <v>685</v>
      </c>
      <c r="B327">
        <v>47.27</v>
      </c>
      <c r="C327" t="s">
        <v>7</v>
      </c>
      <c r="D327">
        <v>1</v>
      </c>
      <c r="E327" t="s">
        <v>686</v>
      </c>
      <c r="Z327" t="str">
        <f t="shared" si="4"/>
        <v>Normal</v>
      </c>
    </row>
    <row r="328" spans="1:26">
      <c r="A328" t="s">
        <v>687</v>
      </c>
      <c r="B328">
        <v>20.29</v>
      </c>
      <c r="C328" t="s">
        <v>7</v>
      </c>
      <c r="D328">
        <v>4</v>
      </c>
      <c r="E328" t="s">
        <v>688</v>
      </c>
      <c r="Z328" t="str">
        <f t="shared" ref="Z328:Z391" si="5">IF(OR(B328&lt;$U$13, B328&gt;$U$14),"Outlier","Normal")</f>
        <v>Normal</v>
      </c>
    </row>
    <row r="329" spans="1:26">
      <c r="A329" t="s">
        <v>689</v>
      </c>
      <c r="B329">
        <v>50.83</v>
      </c>
      <c r="C329" t="s">
        <v>7</v>
      </c>
      <c r="D329">
        <v>3</v>
      </c>
      <c r="E329" t="s">
        <v>690</v>
      </c>
      <c r="Z329" t="str">
        <f t="shared" si="5"/>
        <v>Normal</v>
      </c>
    </row>
    <row r="330" spans="1:26">
      <c r="A330" t="s">
        <v>691</v>
      </c>
      <c r="B330">
        <v>31.85</v>
      </c>
      <c r="C330" t="s">
        <v>7</v>
      </c>
      <c r="D330">
        <v>3</v>
      </c>
      <c r="E330" t="s">
        <v>692</v>
      </c>
      <c r="Z330" t="str">
        <f t="shared" si="5"/>
        <v>Normal</v>
      </c>
    </row>
    <row r="331" spans="1:26">
      <c r="A331" t="s">
        <v>693</v>
      </c>
      <c r="B331">
        <v>46.23</v>
      </c>
      <c r="C331" t="s">
        <v>7</v>
      </c>
      <c r="D331">
        <v>2</v>
      </c>
      <c r="E331" t="s">
        <v>694</v>
      </c>
      <c r="Z331" t="str">
        <f t="shared" si="5"/>
        <v>Normal</v>
      </c>
    </row>
    <row r="332" spans="1:26">
      <c r="A332" t="s">
        <v>695</v>
      </c>
      <c r="B332">
        <v>37.799999999999997</v>
      </c>
      <c r="C332" t="s">
        <v>7</v>
      </c>
      <c r="D332">
        <v>4</v>
      </c>
      <c r="E332" t="s">
        <v>696</v>
      </c>
      <c r="Z332" t="str">
        <f t="shared" si="5"/>
        <v>Normal</v>
      </c>
    </row>
    <row r="333" spans="1:26">
      <c r="A333" t="s">
        <v>697</v>
      </c>
      <c r="B333">
        <v>49.32</v>
      </c>
      <c r="C333" t="s">
        <v>7</v>
      </c>
      <c r="D333">
        <v>5</v>
      </c>
      <c r="E333" t="s">
        <v>698</v>
      </c>
      <c r="Z333" t="str">
        <f t="shared" si="5"/>
        <v>Normal</v>
      </c>
    </row>
    <row r="334" spans="1:26">
      <c r="A334" t="s">
        <v>699</v>
      </c>
      <c r="B334">
        <v>32.01</v>
      </c>
      <c r="C334" t="s">
        <v>7</v>
      </c>
      <c r="D334">
        <v>2</v>
      </c>
      <c r="E334" t="s">
        <v>700</v>
      </c>
      <c r="Z334" t="str">
        <f t="shared" si="5"/>
        <v>Normal</v>
      </c>
    </row>
    <row r="335" spans="1:26">
      <c r="A335" t="s">
        <v>701</v>
      </c>
      <c r="B335">
        <v>28.01</v>
      </c>
      <c r="C335" t="s">
        <v>7</v>
      </c>
      <c r="D335">
        <v>1</v>
      </c>
      <c r="E335" t="s">
        <v>702</v>
      </c>
      <c r="Z335" t="str">
        <f t="shared" si="5"/>
        <v>Normal</v>
      </c>
    </row>
    <row r="336" spans="1:26">
      <c r="A336" t="s">
        <v>703</v>
      </c>
      <c r="B336">
        <v>50.62</v>
      </c>
      <c r="C336" t="s">
        <v>7</v>
      </c>
      <c r="D336">
        <v>5</v>
      </c>
      <c r="E336" t="s">
        <v>704</v>
      </c>
      <c r="Z336" t="str">
        <f t="shared" si="5"/>
        <v>Normal</v>
      </c>
    </row>
    <row r="337" spans="1:26">
      <c r="A337" t="s">
        <v>705</v>
      </c>
      <c r="B337">
        <v>17.03</v>
      </c>
      <c r="C337" t="s">
        <v>7</v>
      </c>
      <c r="D337">
        <v>3</v>
      </c>
      <c r="E337" t="s">
        <v>706</v>
      </c>
      <c r="Z337" t="str">
        <f t="shared" si="5"/>
        <v>Normal</v>
      </c>
    </row>
    <row r="338" spans="1:26">
      <c r="A338" t="s">
        <v>707</v>
      </c>
      <c r="B338">
        <v>48.8</v>
      </c>
      <c r="C338" t="s">
        <v>7</v>
      </c>
      <c r="D338">
        <v>3</v>
      </c>
      <c r="E338" t="s">
        <v>708</v>
      </c>
      <c r="Z338" t="str">
        <f t="shared" si="5"/>
        <v>Normal</v>
      </c>
    </row>
    <row r="339" spans="1:26">
      <c r="A339" t="s">
        <v>709</v>
      </c>
      <c r="B339">
        <v>58.14</v>
      </c>
      <c r="C339" t="s">
        <v>7</v>
      </c>
      <c r="D339">
        <v>4</v>
      </c>
      <c r="E339" t="s">
        <v>710</v>
      </c>
      <c r="Z339" t="str">
        <f t="shared" si="5"/>
        <v>Normal</v>
      </c>
    </row>
    <row r="340" spans="1:26">
      <c r="A340" t="s">
        <v>711</v>
      </c>
      <c r="B340">
        <v>34.200000000000003</v>
      </c>
      <c r="C340" t="s">
        <v>7</v>
      </c>
      <c r="D340">
        <v>2</v>
      </c>
      <c r="E340" t="s">
        <v>712</v>
      </c>
      <c r="Z340" t="str">
        <f t="shared" si="5"/>
        <v>Normal</v>
      </c>
    </row>
    <row r="341" spans="1:26">
      <c r="A341" t="s">
        <v>713</v>
      </c>
      <c r="B341">
        <v>51.48</v>
      </c>
      <c r="C341" t="s">
        <v>7</v>
      </c>
      <c r="D341">
        <v>3</v>
      </c>
      <c r="E341" t="s">
        <v>714</v>
      </c>
      <c r="Z341" t="str">
        <f t="shared" si="5"/>
        <v>Normal</v>
      </c>
    </row>
    <row r="342" spans="1:26">
      <c r="A342" t="s">
        <v>715</v>
      </c>
      <c r="B342">
        <v>29.87</v>
      </c>
      <c r="C342" t="s">
        <v>7</v>
      </c>
      <c r="D342">
        <v>5</v>
      </c>
      <c r="E342" t="s">
        <v>716</v>
      </c>
      <c r="Z342" t="str">
        <f t="shared" si="5"/>
        <v>Normal</v>
      </c>
    </row>
    <row r="343" spans="1:26">
      <c r="A343" t="s">
        <v>717</v>
      </c>
      <c r="B343">
        <v>10.9</v>
      </c>
      <c r="C343" t="s">
        <v>7</v>
      </c>
      <c r="D343">
        <v>2</v>
      </c>
      <c r="E343" t="s">
        <v>718</v>
      </c>
      <c r="Z343" t="str">
        <f t="shared" si="5"/>
        <v>Normal</v>
      </c>
    </row>
    <row r="344" spans="1:26">
      <c r="A344" t="s">
        <v>719</v>
      </c>
      <c r="B344">
        <v>56.37</v>
      </c>
      <c r="C344" t="s">
        <v>7</v>
      </c>
      <c r="D344">
        <v>5</v>
      </c>
      <c r="E344" t="s">
        <v>720</v>
      </c>
      <c r="Z344" t="str">
        <f t="shared" si="5"/>
        <v>Normal</v>
      </c>
    </row>
    <row r="345" spans="1:26">
      <c r="A345" t="s">
        <v>721</v>
      </c>
      <c r="B345">
        <v>48.35</v>
      </c>
      <c r="C345" t="s">
        <v>7</v>
      </c>
      <c r="D345">
        <v>5</v>
      </c>
      <c r="E345" t="s">
        <v>722</v>
      </c>
      <c r="Z345" t="str">
        <f t="shared" si="5"/>
        <v>Normal</v>
      </c>
    </row>
    <row r="346" spans="1:26">
      <c r="A346" t="s">
        <v>723</v>
      </c>
      <c r="B346">
        <v>16.73</v>
      </c>
      <c r="C346" t="s">
        <v>7</v>
      </c>
      <c r="D346">
        <v>2</v>
      </c>
      <c r="E346" t="s">
        <v>724</v>
      </c>
      <c r="Z346" t="str">
        <f t="shared" si="5"/>
        <v>Normal</v>
      </c>
    </row>
    <row r="347" spans="1:26">
      <c r="A347" t="s">
        <v>725</v>
      </c>
      <c r="B347">
        <v>56.48</v>
      </c>
      <c r="C347" t="s">
        <v>7</v>
      </c>
      <c r="D347">
        <v>2</v>
      </c>
      <c r="E347" t="s">
        <v>726</v>
      </c>
      <c r="Z347" t="str">
        <f t="shared" si="5"/>
        <v>Normal</v>
      </c>
    </row>
    <row r="348" spans="1:26">
      <c r="A348" t="s">
        <v>727</v>
      </c>
      <c r="B348">
        <v>40.79</v>
      </c>
      <c r="C348" t="s">
        <v>7</v>
      </c>
      <c r="D348">
        <v>2</v>
      </c>
      <c r="E348" t="s">
        <v>728</v>
      </c>
      <c r="Z348" t="str">
        <f t="shared" si="5"/>
        <v>Normal</v>
      </c>
    </row>
    <row r="349" spans="1:26">
      <c r="A349" t="s">
        <v>729</v>
      </c>
      <c r="B349">
        <v>39.72</v>
      </c>
      <c r="C349" t="s">
        <v>7</v>
      </c>
      <c r="D349">
        <v>1</v>
      </c>
      <c r="E349" t="s">
        <v>730</v>
      </c>
      <c r="Z349" t="str">
        <f t="shared" si="5"/>
        <v>Normal</v>
      </c>
    </row>
    <row r="350" spans="1:26">
      <c r="A350" t="s">
        <v>731</v>
      </c>
      <c r="B350">
        <v>14.58</v>
      </c>
      <c r="C350" t="s">
        <v>7</v>
      </c>
      <c r="D350">
        <v>3</v>
      </c>
      <c r="E350" t="s">
        <v>732</v>
      </c>
      <c r="Z350" t="str">
        <f t="shared" si="5"/>
        <v>Normal</v>
      </c>
    </row>
    <row r="351" spans="1:26">
      <c r="A351" t="s">
        <v>733</v>
      </c>
      <c r="B351">
        <v>55.51</v>
      </c>
      <c r="C351" t="s">
        <v>7</v>
      </c>
      <c r="D351">
        <v>1</v>
      </c>
      <c r="E351" t="s">
        <v>734</v>
      </c>
      <c r="Z351" t="str">
        <f t="shared" si="5"/>
        <v>Normal</v>
      </c>
    </row>
    <row r="352" spans="1:26">
      <c r="A352" t="s">
        <v>735</v>
      </c>
      <c r="B352">
        <v>21.8</v>
      </c>
      <c r="C352" t="s">
        <v>7</v>
      </c>
      <c r="D352">
        <v>3</v>
      </c>
      <c r="E352" t="s">
        <v>736</v>
      </c>
      <c r="Z352" t="str">
        <f t="shared" si="5"/>
        <v>Normal</v>
      </c>
    </row>
    <row r="353" spans="1:26">
      <c r="A353" t="s">
        <v>737</v>
      </c>
      <c r="B353">
        <v>13.33</v>
      </c>
      <c r="C353" t="s">
        <v>7</v>
      </c>
      <c r="D353">
        <v>3</v>
      </c>
      <c r="E353" t="s">
        <v>738</v>
      </c>
      <c r="Z353" t="str">
        <f t="shared" si="5"/>
        <v>Normal</v>
      </c>
    </row>
    <row r="354" spans="1:26">
      <c r="A354" t="s">
        <v>739</v>
      </c>
      <c r="B354">
        <v>38.729999999999997</v>
      </c>
      <c r="C354" t="s">
        <v>7</v>
      </c>
      <c r="D354">
        <v>1</v>
      </c>
      <c r="E354" t="s">
        <v>740</v>
      </c>
      <c r="Z354" t="str">
        <f t="shared" si="5"/>
        <v>Normal</v>
      </c>
    </row>
    <row r="355" spans="1:26">
      <c r="A355" t="s">
        <v>741</v>
      </c>
      <c r="B355">
        <v>37.86</v>
      </c>
      <c r="C355" t="s">
        <v>7</v>
      </c>
      <c r="D355">
        <v>4</v>
      </c>
      <c r="E355" t="s">
        <v>742</v>
      </c>
      <c r="Z355" t="str">
        <f t="shared" si="5"/>
        <v>Normal</v>
      </c>
    </row>
    <row r="356" spans="1:26">
      <c r="A356" t="s">
        <v>743</v>
      </c>
      <c r="B356">
        <v>11.53</v>
      </c>
      <c r="C356" t="s">
        <v>7</v>
      </c>
      <c r="D356">
        <v>2</v>
      </c>
      <c r="E356" t="s">
        <v>744</v>
      </c>
      <c r="Z356" t="str">
        <f t="shared" si="5"/>
        <v>Normal</v>
      </c>
    </row>
    <row r="357" spans="1:26">
      <c r="A357" t="s">
        <v>745</v>
      </c>
      <c r="B357">
        <v>27.06</v>
      </c>
      <c r="C357" t="s">
        <v>7</v>
      </c>
      <c r="D357">
        <v>1</v>
      </c>
      <c r="E357" t="s">
        <v>746</v>
      </c>
      <c r="Z357" t="str">
        <f t="shared" si="5"/>
        <v>Normal</v>
      </c>
    </row>
    <row r="358" spans="1:26">
      <c r="A358" t="s">
        <v>747</v>
      </c>
      <c r="B358">
        <v>13.86</v>
      </c>
      <c r="C358" t="s">
        <v>7</v>
      </c>
      <c r="D358">
        <v>3</v>
      </c>
      <c r="E358" t="s">
        <v>748</v>
      </c>
      <c r="Z358" t="str">
        <f t="shared" si="5"/>
        <v>Normal</v>
      </c>
    </row>
    <row r="359" spans="1:26">
      <c r="A359" t="s">
        <v>749</v>
      </c>
      <c r="B359">
        <v>37.549999999999997</v>
      </c>
      <c r="C359" t="s">
        <v>7</v>
      </c>
      <c r="D359">
        <v>1</v>
      </c>
      <c r="E359" t="s">
        <v>750</v>
      </c>
      <c r="Z359" t="str">
        <f t="shared" si="5"/>
        <v>Normal</v>
      </c>
    </row>
    <row r="360" spans="1:26">
      <c r="A360" t="s">
        <v>507</v>
      </c>
      <c r="B360">
        <v>32.299999999999997</v>
      </c>
      <c r="C360" t="s">
        <v>7</v>
      </c>
      <c r="D360">
        <v>5</v>
      </c>
      <c r="E360" t="s">
        <v>751</v>
      </c>
      <c r="Z360" t="str">
        <f t="shared" si="5"/>
        <v>Normal</v>
      </c>
    </row>
    <row r="361" spans="1:26">
      <c r="A361" t="s">
        <v>752</v>
      </c>
      <c r="B361">
        <v>46.29</v>
      </c>
      <c r="C361" t="s">
        <v>7</v>
      </c>
      <c r="D361">
        <v>5</v>
      </c>
      <c r="E361" t="s">
        <v>753</v>
      </c>
      <c r="Z361" t="str">
        <f t="shared" si="5"/>
        <v>Normal</v>
      </c>
    </row>
    <row r="362" spans="1:26">
      <c r="A362" t="s">
        <v>754</v>
      </c>
      <c r="B362">
        <v>26.2</v>
      </c>
      <c r="C362" t="s">
        <v>7</v>
      </c>
      <c r="D362">
        <v>1</v>
      </c>
      <c r="E362" t="s">
        <v>755</v>
      </c>
      <c r="Z362" t="str">
        <f t="shared" si="5"/>
        <v>Normal</v>
      </c>
    </row>
    <row r="363" spans="1:26">
      <c r="A363" t="s">
        <v>756</v>
      </c>
      <c r="B363">
        <v>33.26</v>
      </c>
      <c r="C363" t="s">
        <v>7</v>
      </c>
      <c r="D363">
        <v>2</v>
      </c>
      <c r="E363" t="s">
        <v>757</v>
      </c>
      <c r="Z363" t="str">
        <f t="shared" si="5"/>
        <v>Normal</v>
      </c>
    </row>
    <row r="364" spans="1:26">
      <c r="A364" t="s">
        <v>758</v>
      </c>
      <c r="B364">
        <v>59.15</v>
      </c>
      <c r="C364" t="s">
        <v>7</v>
      </c>
      <c r="D364">
        <v>4</v>
      </c>
      <c r="E364" t="s">
        <v>759</v>
      </c>
      <c r="Z364" t="str">
        <f t="shared" si="5"/>
        <v>Normal</v>
      </c>
    </row>
    <row r="365" spans="1:26">
      <c r="A365" t="s">
        <v>760</v>
      </c>
      <c r="B365">
        <v>39.43</v>
      </c>
      <c r="C365" t="s">
        <v>7</v>
      </c>
      <c r="D365">
        <v>1</v>
      </c>
      <c r="E365" t="s">
        <v>761</v>
      </c>
      <c r="Z365" t="str">
        <f t="shared" si="5"/>
        <v>Normal</v>
      </c>
    </row>
    <row r="366" spans="1:26">
      <c r="A366" t="s">
        <v>762</v>
      </c>
      <c r="B366">
        <v>14.44</v>
      </c>
      <c r="C366" t="s">
        <v>7</v>
      </c>
      <c r="D366">
        <v>5</v>
      </c>
      <c r="E366" t="s">
        <v>763</v>
      </c>
      <c r="Z366" t="str">
        <f t="shared" si="5"/>
        <v>Normal</v>
      </c>
    </row>
    <row r="367" spans="1:26">
      <c r="A367" t="s">
        <v>764</v>
      </c>
      <c r="B367">
        <v>56.54</v>
      </c>
      <c r="C367" t="s">
        <v>7</v>
      </c>
      <c r="D367">
        <v>2</v>
      </c>
      <c r="E367" t="s">
        <v>765</v>
      </c>
      <c r="Z367" t="str">
        <f t="shared" si="5"/>
        <v>Normal</v>
      </c>
    </row>
    <row r="368" spans="1:26">
      <c r="A368" t="s">
        <v>766</v>
      </c>
      <c r="B368">
        <v>59.9</v>
      </c>
      <c r="C368" t="s">
        <v>7</v>
      </c>
      <c r="D368">
        <v>3</v>
      </c>
      <c r="E368" t="s">
        <v>767</v>
      </c>
      <c r="Z368" t="str">
        <f t="shared" si="5"/>
        <v>Normal</v>
      </c>
    </row>
    <row r="369" spans="1:26">
      <c r="A369" t="s">
        <v>768</v>
      </c>
      <c r="B369">
        <v>11.88</v>
      </c>
      <c r="C369" t="s">
        <v>7</v>
      </c>
      <c r="D369">
        <v>3</v>
      </c>
      <c r="E369" t="s">
        <v>769</v>
      </c>
      <c r="Z369" t="str">
        <f t="shared" si="5"/>
        <v>Normal</v>
      </c>
    </row>
    <row r="370" spans="1:26">
      <c r="A370" t="s">
        <v>770</v>
      </c>
      <c r="B370">
        <v>48.05</v>
      </c>
      <c r="C370" t="s">
        <v>7</v>
      </c>
      <c r="D370">
        <v>2</v>
      </c>
      <c r="E370" t="s">
        <v>771</v>
      </c>
      <c r="Z370" t="str">
        <f t="shared" si="5"/>
        <v>Normal</v>
      </c>
    </row>
    <row r="371" spans="1:26">
      <c r="A371" t="s">
        <v>772</v>
      </c>
      <c r="B371">
        <v>21.21</v>
      </c>
      <c r="C371" t="s">
        <v>7</v>
      </c>
      <c r="D371">
        <v>3</v>
      </c>
      <c r="E371" t="s">
        <v>773</v>
      </c>
      <c r="Z371" t="str">
        <f t="shared" si="5"/>
        <v>Normal</v>
      </c>
    </row>
    <row r="372" spans="1:26">
      <c r="A372" t="s">
        <v>774</v>
      </c>
      <c r="B372">
        <v>49.67</v>
      </c>
      <c r="C372" t="s">
        <v>7</v>
      </c>
      <c r="D372">
        <v>4</v>
      </c>
      <c r="E372" t="s">
        <v>775</v>
      </c>
      <c r="Z372" t="str">
        <f t="shared" si="5"/>
        <v>Normal</v>
      </c>
    </row>
    <row r="373" spans="1:26">
      <c r="A373" t="s">
        <v>776</v>
      </c>
      <c r="B373">
        <v>43.14</v>
      </c>
      <c r="C373" t="s">
        <v>7</v>
      </c>
      <c r="D373">
        <v>1</v>
      </c>
      <c r="E373" t="s">
        <v>777</v>
      </c>
      <c r="Z373" t="str">
        <f t="shared" si="5"/>
        <v>Normal</v>
      </c>
    </row>
    <row r="374" spans="1:26">
      <c r="A374" t="s">
        <v>778</v>
      </c>
      <c r="B374">
        <v>36.97</v>
      </c>
      <c r="C374" t="s">
        <v>7</v>
      </c>
      <c r="D374">
        <v>5</v>
      </c>
      <c r="E374" t="s">
        <v>779</v>
      </c>
      <c r="Z374" t="str">
        <f t="shared" si="5"/>
        <v>Normal</v>
      </c>
    </row>
    <row r="375" spans="1:26">
      <c r="A375" t="s">
        <v>780</v>
      </c>
      <c r="B375">
        <v>26.8</v>
      </c>
      <c r="C375" t="s">
        <v>7</v>
      </c>
      <c r="D375">
        <v>3</v>
      </c>
      <c r="E375" t="s">
        <v>781</v>
      </c>
      <c r="Z375" t="str">
        <f t="shared" si="5"/>
        <v>Normal</v>
      </c>
    </row>
    <row r="376" spans="1:26">
      <c r="A376" t="s">
        <v>782</v>
      </c>
      <c r="B376">
        <v>15.71</v>
      </c>
      <c r="C376" t="s">
        <v>7</v>
      </c>
      <c r="D376">
        <v>4</v>
      </c>
      <c r="E376" t="s">
        <v>783</v>
      </c>
      <c r="Z376" t="str">
        <f t="shared" si="5"/>
        <v>Normal</v>
      </c>
    </row>
    <row r="377" spans="1:26">
      <c r="A377" t="s">
        <v>784</v>
      </c>
      <c r="B377">
        <v>54.65</v>
      </c>
      <c r="C377" t="s">
        <v>7</v>
      </c>
      <c r="D377">
        <v>4</v>
      </c>
      <c r="E377" t="s">
        <v>785</v>
      </c>
      <c r="Z377" t="str">
        <f t="shared" si="5"/>
        <v>Normal</v>
      </c>
    </row>
    <row r="378" spans="1:26">
      <c r="A378" t="s">
        <v>786</v>
      </c>
      <c r="B378">
        <v>54.36</v>
      </c>
      <c r="C378" t="s">
        <v>7</v>
      </c>
      <c r="D378">
        <v>4</v>
      </c>
      <c r="E378" t="s">
        <v>787</v>
      </c>
      <c r="Z378" t="str">
        <f t="shared" si="5"/>
        <v>Normal</v>
      </c>
    </row>
    <row r="379" spans="1:26">
      <c r="A379" t="s">
        <v>788</v>
      </c>
      <c r="B379">
        <v>35.28</v>
      </c>
      <c r="C379" t="s">
        <v>7</v>
      </c>
      <c r="D379">
        <v>3</v>
      </c>
      <c r="E379" t="s">
        <v>789</v>
      </c>
      <c r="Z379" t="str">
        <f t="shared" si="5"/>
        <v>Normal</v>
      </c>
    </row>
    <row r="380" spans="1:26">
      <c r="A380" t="s">
        <v>790</v>
      </c>
      <c r="B380">
        <v>20.55</v>
      </c>
      <c r="C380" t="s">
        <v>7</v>
      </c>
      <c r="D380">
        <v>2</v>
      </c>
      <c r="E380" t="s">
        <v>791</v>
      </c>
      <c r="Z380" t="str">
        <f t="shared" si="5"/>
        <v>Normal</v>
      </c>
    </row>
    <row r="381" spans="1:26">
      <c r="A381" t="s">
        <v>792</v>
      </c>
      <c r="B381">
        <v>58.32</v>
      </c>
      <c r="C381" t="s">
        <v>7</v>
      </c>
      <c r="D381">
        <v>5</v>
      </c>
      <c r="E381" t="s">
        <v>793</v>
      </c>
      <c r="Z381" t="str">
        <f t="shared" si="5"/>
        <v>Normal</v>
      </c>
    </row>
    <row r="382" spans="1:26">
      <c r="A382" t="s">
        <v>794</v>
      </c>
      <c r="B382">
        <v>11.84</v>
      </c>
      <c r="C382" t="s">
        <v>7</v>
      </c>
      <c r="D382">
        <v>1</v>
      </c>
      <c r="E382" t="s">
        <v>795</v>
      </c>
      <c r="Z382" t="str">
        <f t="shared" si="5"/>
        <v>Normal</v>
      </c>
    </row>
    <row r="383" spans="1:26">
      <c r="A383" t="s">
        <v>796</v>
      </c>
      <c r="B383">
        <v>41.46</v>
      </c>
      <c r="C383" t="s">
        <v>7</v>
      </c>
      <c r="D383">
        <v>4</v>
      </c>
      <c r="E383" t="s">
        <v>797</v>
      </c>
      <c r="Z383" t="str">
        <f t="shared" si="5"/>
        <v>Normal</v>
      </c>
    </row>
    <row r="384" spans="1:26">
      <c r="A384" t="s">
        <v>798</v>
      </c>
      <c r="B384">
        <v>20.100000000000001</v>
      </c>
      <c r="C384" t="s">
        <v>7</v>
      </c>
      <c r="D384">
        <v>5</v>
      </c>
      <c r="E384" t="s">
        <v>799</v>
      </c>
      <c r="Z384" t="str">
        <f t="shared" si="5"/>
        <v>Normal</v>
      </c>
    </row>
    <row r="385" spans="1:26">
      <c r="A385" t="s">
        <v>800</v>
      </c>
      <c r="B385">
        <v>56.86</v>
      </c>
      <c r="C385" t="s">
        <v>7</v>
      </c>
      <c r="D385">
        <v>1</v>
      </c>
      <c r="E385" t="s">
        <v>801</v>
      </c>
      <c r="Z385" t="str">
        <f t="shared" si="5"/>
        <v>Normal</v>
      </c>
    </row>
    <row r="386" spans="1:26">
      <c r="A386" t="s">
        <v>802</v>
      </c>
      <c r="B386">
        <v>56.51</v>
      </c>
      <c r="C386" t="s">
        <v>7</v>
      </c>
      <c r="D386">
        <v>5</v>
      </c>
      <c r="E386" t="s">
        <v>803</v>
      </c>
      <c r="Z386" t="str">
        <f t="shared" si="5"/>
        <v>Normal</v>
      </c>
    </row>
    <row r="387" spans="1:26">
      <c r="A387" t="s">
        <v>804</v>
      </c>
      <c r="B387">
        <v>40.83</v>
      </c>
      <c r="C387" t="s">
        <v>7</v>
      </c>
      <c r="D387">
        <v>4</v>
      </c>
      <c r="E387" t="s">
        <v>805</v>
      </c>
      <c r="Z387" t="str">
        <f t="shared" si="5"/>
        <v>Normal</v>
      </c>
    </row>
    <row r="388" spans="1:26">
      <c r="A388" t="s">
        <v>806</v>
      </c>
      <c r="B388">
        <v>48.64</v>
      </c>
      <c r="C388" t="s">
        <v>7</v>
      </c>
      <c r="D388">
        <v>1</v>
      </c>
      <c r="E388" t="s">
        <v>807</v>
      </c>
      <c r="Z388" t="str">
        <f t="shared" si="5"/>
        <v>Normal</v>
      </c>
    </row>
    <row r="389" spans="1:26">
      <c r="A389" t="s">
        <v>808</v>
      </c>
      <c r="B389">
        <v>59.48</v>
      </c>
      <c r="C389" t="s">
        <v>7</v>
      </c>
      <c r="D389">
        <v>3</v>
      </c>
      <c r="E389" t="s">
        <v>809</v>
      </c>
      <c r="Z389" t="str">
        <f t="shared" si="5"/>
        <v>Normal</v>
      </c>
    </row>
    <row r="390" spans="1:26">
      <c r="A390" t="s">
        <v>810</v>
      </c>
      <c r="B390">
        <v>39.01</v>
      </c>
      <c r="C390" t="s">
        <v>7</v>
      </c>
      <c r="D390">
        <v>4</v>
      </c>
      <c r="E390" t="s">
        <v>811</v>
      </c>
      <c r="Z390" t="str">
        <f t="shared" si="5"/>
        <v>Normal</v>
      </c>
    </row>
    <row r="391" spans="1:26">
      <c r="A391" t="s">
        <v>812</v>
      </c>
      <c r="B391">
        <v>38.770000000000003</v>
      </c>
      <c r="C391" t="s">
        <v>7</v>
      </c>
      <c r="D391">
        <v>1</v>
      </c>
      <c r="E391" t="s">
        <v>813</v>
      </c>
      <c r="Z391" t="str">
        <f t="shared" si="5"/>
        <v>Normal</v>
      </c>
    </row>
    <row r="392" spans="1:26">
      <c r="A392" t="s">
        <v>814</v>
      </c>
      <c r="B392">
        <v>48.39</v>
      </c>
      <c r="C392" t="s">
        <v>7</v>
      </c>
      <c r="D392">
        <v>2</v>
      </c>
      <c r="E392" t="s">
        <v>815</v>
      </c>
      <c r="Z392" t="str">
        <f t="shared" ref="Z392:Z455" si="6">IF(OR(B392&lt;$U$13, B392&gt;$U$14),"Outlier","Normal")</f>
        <v>Normal</v>
      </c>
    </row>
    <row r="393" spans="1:26">
      <c r="A393" t="s">
        <v>816</v>
      </c>
      <c r="B393">
        <v>27.26</v>
      </c>
      <c r="C393" t="s">
        <v>7</v>
      </c>
      <c r="D393">
        <v>2</v>
      </c>
      <c r="E393" t="s">
        <v>817</v>
      </c>
      <c r="Z393" t="str">
        <f t="shared" si="6"/>
        <v>Normal</v>
      </c>
    </row>
    <row r="394" spans="1:26">
      <c r="A394" t="s">
        <v>818</v>
      </c>
      <c r="B394">
        <v>11.68</v>
      </c>
      <c r="C394" t="s">
        <v>7</v>
      </c>
      <c r="D394">
        <v>4</v>
      </c>
      <c r="E394" t="s">
        <v>819</v>
      </c>
      <c r="Z394" t="str">
        <f t="shared" si="6"/>
        <v>Normal</v>
      </c>
    </row>
    <row r="395" spans="1:26">
      <c r="A395" t="s">
        <v>820</v>
      </c>
      <c r="B395">
        <v>59.45</v>
      </c>
      <c r="C395" t="s">
        <v>7</v>
      </c>
      <c r="D395">
        <v>1</v>
      </c>
      <c r="E395" t="s">
        <v>821</v>
      </c>
      <c r="Z395" t="str">
        <f t="shared" si="6"/>
        <v>Normal</v>
      </c>
    </row>
    <row r="396" spans="1:26">
      <c r="A396" t="s">
        <v>822</v>
      </c>
      <c r="B396">
        <v>21</v>
      </c>
      <c r="C396" t="s">
        <v>7</v>
      </c>
      <c r="D396">
        <v>3</v>
      </c>
      <c r="E396" t="s">
        <v>823</v>
      </c>
      <c r="Z396" t="str">
        <f t="shared" si="6"/>
        <v>Normal</v>
      </c>
    </row>
    <row r="397" spans="1:26">
      <c r="A397" t="s">
        <v>824</v>
      </c>
      <c r="B397">
        <v>53.98</v>
      </c>
      <c r="C397" t="s">
        <v>7</v>
      </c>
      <c r="D397">
        <v>3</v>
      </c>
      <c r="E397" t="s">
        <v>825</v>
      </c>
      <c r="Z397" t="str">
        <f t="shared" si="6"/>
        <v>Normal</v>
      </c>
    </row>
    <row r="398" spans="1:26">
      <c r="A398" t="s">
        <v>826</v>
      </c>
      <c r="B398">
        <v>48.74</v>
      </c>
      <c r="C398" t="s">
        <v>7</v>
      </c>
      <c r="D398">
        <v>1</v>
      </c>
      <c r="E398" t="s">
        <v>827</v>
      </c>
      <c r="Z398" t="str">
        <f t="shared" si="6"/>
        <v>Normal</v>
      </c>
    </row>
    <row r="399" spans="1:26">
      <c r="A399" t="s">
        <v>828</v>
      </c>
      <c r="B399">
        <v>21.15</v>
      </c>
      <c r="C399" t="s">
        <v>7</v>
      </c>
      <c r="D399">
        <v>2</v>
      </c>
      <c r="E399" t="s">
        <v>829</v>
      </c>
      <c r="Z399" t="str">
        <f t="shared" si="6"/>
        <v>Normal</v>
      </c>
    </row>
    <row r="400" spans="1:26">
      <c r="A400" t="s">
        <v>830</v>
      </c>
      <c r="B400">
        <v>13.71</v>
      </c>
      <c r="C400" t="s">
        <v>7</v>
      </c>
      <c r="D400">
        <v>3</v>
      </c>
      <c r="E400" t="s">
        <v>831</v>
      </c>
      <c r="Z400" t="str">
        <f t="shared" si="6"/>
        <v>Normal</v>
      </c>
    </row>
    <row r="401" spans="1:26">
      <c r="A401" t="s">
        <v>832</v>
      </c>
      <c r="B401">
        <v>47.67</v>
      </c>
      <c r="C401" t="s">
        <v>7</v>
      </c>
      <c r="D401">
        <v>3</v>
      </c>
      <c r="E401" t="s">
        <v>833</v>
      </c>
      <c r="Z401" t="str">
        <f t="shared" si="6"/>
        <v>Normal</v>
      </c>
    </row>
    <row r="402" spans="1:26">
      <c r="A402" t="s">
        <v>834</v>
      </c>
      <c r="B402">
        <v>13.34</v>
      </c>
      <c r="C402" t="s">
        <v>7</v>
      </c>
      <c r="D402">
        <v>2</v>
      </c>
      <c r="E402" t="s">
        <v>835</v>
      </c>
      <c r="Z402" t="str">
        <f t="shared" si="6"/>
        <v>Normal</v>
      </c>
    </row>
    <row r="403" spans="1:26">
      <c r="A403" t="s">
        <v>836</v>
      </c>
      <c r="B403">
        <v>16.89</v>
      </c>
      <c r="C403" t="s">
        <v>7</v>
      </c>
      <c r="D403">
        <v>5</v>
      </c>
      <c r="E403" t="s">
        <v>837</v>
      </c>
      <c r="Z403" t="str">
        <f t="shared" si="6"/>
        <v>Normal</v>
      </c>
    </row>
    <row r="404" spans="1:26">
      <c r="A404" t="s">
        <v>838</v>
      </c>
      <c r="B404">
        <v>27.18</v>
      </c>
      <c r="C404" t="s">
        <v>7</v>
      </c>
      <c r="D404">
        <v>1</v>
      </c>
      <c r="E404" t="s">
        <v>839</v>
      </c>
      <c r="Z404" t="str">
        <f t="shared" si="6"/>
        <v>Normal</v>
      </c>
    </row>
    <row r="405" spans="1:26">
      <c r="A405" t="s">
        <v>840</v>
      </c>
      <c r="B405">
        <v>17.28</v>
      </c>
      <c r="C405" t="s">
        <v>7</v>
      </c>
      <c r="D405">
        <v>2</v>
      </c>
      <c r="E405" t="s">
        <v>841</v>
      </c>
      <c r="Z405" t="str">
        <f t="shared" si="6"/>
        <v>Normal</v>
      </c>
    </row>
    <row r="406" spans="1:26">
      <c r="A406" t="s">
        <v>842</v>
      </c>
      <c r="B406">
        <v>45.14</v>
      </c>
      <c r="C406" t="s">
        <v>7</v>
      </c>
      <c r="D406">
        <v>1</v>
      </c>
      <c r="E406" t="s">
        <v>843</v>
      </c>
      <c r="Z406" t="str">
        <f t="shared" si="6"/>
        <v>Normal</v>
      </c>
    </row>
    <row r="407" spans="1:26">
      <c r="A407" t="s">
        <v>844</v>
      </c>
      <c r="B407">
        <v>40.85</v>
      </c>
      <c r="C407" t="s">
        <v>7</v>
      </c>
      <c r="D407">
        <v>1</v>
      </c>
      <c r="E407" t="s">
        <v>845</v>
      </c>
      <c r="Z407" t="str">
        <f t="shared" si="6"/>
        <v>Normal</v>
      </c>
    </row>
    <row r="408" spans="1:26">
      <c r="A408" t="s">
        <v>846</v>
      </c>
      <c r="B408">
        <v>20.46</v>
      </c>
      <c r="C408" t="s">
        <v>7</v>
      </c>
      <c r="D408">
        <v>4</v>
      </c>
      <c r="E408" t="s">
        <v>847</v>
      </c>
      <c r="Z408" t="str">
        <f t="shared" si="6"/>
        <v>Normal</v>
      </c>
    </row>
    <row r="409" spans="1:26">
      <c r="A409" t="s">
        <v>848</v>
      </c>
      <c r="B409">
        <v>56.27</v>
      </c>
      <c r="C409" t="s">
        <v>7</v>
      </c>
      <c r="D409">
        <v>3</v>
      </c>
      <c r="E409" t="s">
        <v>849</v>
      </c>
      <c r="Z409" t="str">
        <f t="shared" si="6"/>
        <v>Normal</v>
      </c>
    </row>
    <row r="410" spans="1:26">
      <c r="A410" t="s">
        <v>850</v>
      </c>
      <c r="B410">
        <v>48.49</v>
      </c>
      <c r="C410" t="s">
        <v>7</v>
      </c>
      <c r="D410">
        <v>4</v>
      </c>
      <c r="E410" t="s">
        <v>851</v>
      </c>
      <c r="Z410" t="str">
        <f t="shared" si="6"/>
        <v>Normal</v>
      </c>
    </row>
    <row r="411" spans="1:26">
      <c r="A411" t="s">
        <v>852</v>
      </c>
      <c r="B411">
        <v>51.34</v>
      </c>
      <c r="C411" t="s">
        <v>7</v>
      </c>
      <c r="D411">
        <v>4</v>
      </c>
      <c r="E411" t="s">
        <v>853</v>
      </c>
      <c r="Z411" t="str">
        <f t="shared" si="6"/>
        <v>Normal</v>
      </c>
    </row>
    <row r="412" spans="1:26">
      <c r="A412" t="s">
        <v>854</v>
      </c>
      <c r="B412">
        <v>16.34</v>
      </c>
      <c r="C412" t="s">
        <v>7</v>
      </c>
      <c r="D412">
        <v>3</v>
      </c>
      <c r="E412" t="s">
        <v>855</v>
      </c>
      <c r="Z412" t="str">
        <f t="shared" si="6"/>
        <v>Normal</v>
      </c>
    </row>
    <row r="413" spans="1:26">
      <c r="A413" t="s">
        <v>856</v>
      </c>
      <c r="B413">
        <v>20.5</v>
      </c>
      <c r="C413" t="s">
        <v>7</v>
      </c>
      <c r="D413">
        <v>3</v>
      </c>
      <c r="E413" t="s">
        <v>857</v>
      </c>
      <c r="Z413" t="str">
        <f t="shared" si="6"/>
        <v>Normal</v>
      </c>
    </row>
    <row r="414" spans="1:26">
      <c r="A414" t="s">
        <v>858</v>
      </c>
      <c r="B414">
        <v>21.59</v>
      </c>
      <c r="C414" t="s">
        <v>7</v>
      </c>
      <c r="D414">
        <v>5</v>
      </c>
      <c r="E414" t="s">
        <v>859</v>
      </c>
      <c r="Z414" t="str">
        <f t="shared" si="6"/>
        <v>Normal</v>
      </c>
    </row>
    <row r="415" spans="1:26">
      <c r="A415" t="s">
        <v>860</v>
      </c>
      <c r="B415">
        <v>21.36</v>
      </c>
      <c r="C415" t="s">
        <v>7</v>
      </c>
      <c r="D415">
        <v>4</v>
      </c>
      <c r="E415" t="s">
        <v>861</v>
      </c>
      <c r="Z415" t="str">
        <f t="shared" si="6"/>
        <v>Normal</v>
      </c>
    </row>
    <row r="416" spans="1:26">
      <c r="A416" t="s">
        <v>862</v>
      </c>
      <c r="B416">
        <v>20.88</v>
      </c>
      <c r="C416" t="s">
        <v>7</v>
      </c>
      <c r="D416">
        <v>5</v>
      </c>
      <c r="E416" t="s">
        <v>863</v>
      </c>
      <c r="Z416" t="str">
        <f t="shared" si="6"/>
        <v>Normal</v>
      </c>
    </row>
    <row r="417" spans="1:26">
      <c r="A417" t="s">
        <v>864</v>
      </c>
      <c r="B417">
        <v>19.53</v>
      </c>
      <c r="C417" t="s">
        <v>7</v>
      </c>
      <c r="D417">
        <v>3</v>
      </c>
      <c r="E417" t="s">
        <v>865</v>
      </c>
      <c r="Z417" t="str">
        <f t="shared" si="6"/>
        <v>Normal</v>
      </c>
    </row>
    <row r="418" spans="1:26">
      <c r="A418" t="s">
        <v>866</v>
      </c>
      <c r="B418">
        <v>14.75</v>
      </c>
      <c r="C418" t="s">
        <v>7</v>
      </c>
      <c r="D418">
        <v>5</v>
      </c>
      <c r="E418" t="s">
        <v>867</v>
      </c>
      <c r="Z418" t="str">
        <f t="shared" si="6"/>
        <v>Normal</v>
      </c>
    </row>
    <row r="419" spans="1:26">
      <c r="A419" t="s">
        <v>868</v>
      </c>
      <c r="B419">
        <v>48.48</v>
      </c>
      <c r="C419" t="s">
        <v>7</v>
      </c>
      <c r="D419">
        <v>3</v>
      </c>
      <c r="E419" t="s">
        <v>869</v>
      </c>
      <c r="Z419" t="str">
        <f t="shared" si="6"/>
        <v>Normal</v>
      </c>
    </row>
    <row r="420" spans="1:26">
      <c r="A420" t="s">
        <v>870</v>
      </c>
      <c r="B420">
        <v>24.57</v>
      </c>
      <c r="C420" t="s">
        <v>7</v>
      </c>
      <c r="D420">
        <v>2</v>
      </c>
      <c r="E420" t="s">
        <v>871</v>
      </c>
      <c r="Z420" t="str">
        <f t="shared" si="6"/>
        <v>Normal</v>
      </c>
    </row>
    <row r="421" spans="1:26">
      <c r="A421" t="s">
        <v>872</v>
      </c>
      <c r="B421">
        <v>49.71</v>
      </c>
      <c r="C421" t="s">
        <v>7</v>
      </c>
      <c r="D421">
        <v>5</v>
      </c>
      <c r="E421" t="s">
        <v>873</v>
      </c>
      <c r="Z421" t="str">
        <f t="shared" si="6"/>
        <v>Normal</v>
      </c>
    </row>
    <row r="422" spans="1:26">
      <c r="A422" t="s">
        <v>874</v>
      </c>
      <c r="B422">
        <v>48.27</v>
      </c>
      <c r="C422" t="s">
        <v>7</v>
      </c>
      <c r="D422">
        <v>5</v>
      </c>
      <c r="E422" t="s">
        <v>875</v>
      </c>
      <c r="Z422" t="str">
        <f t="shared" si="6"/>
        <v>Normal</v>
      </c>
    </row>
    <row r="423" spans="1:26">
      <c r="A423" t="s">
        <v>876</v>
      </c>
      <c r="B423">
        <v>58.05</v>
      </c>
      <c r="C423" t="s">
        <v>7</v>
      </c>
      <c r="D423">
        <v>4</v>
      </c>
      <c r="E423" t="s">
        <v>877</v>
      </c>
      <c r="Z423" t="str">
        <f t="shared" si="6"/>
        <v>Normal</v>
      </c>
    </row>
    <row r="424" spans="1:26">
      <c r="A424" t="s">
        <v>878</v>
      </c>
      <c r="B424">
        <v>58.87</v>
      </c>
      <c r="C424" t="s">
        <v>7</v>
      </c>
      <c r="D424">
        <v>4</v>
      </c>
      <c r="E424" t="s">
        <v>879</v>
      </c>
      <c r="Z424" t="str">
        <f t="shared" si="6"/>
        <v>Normal</v>
      </c>
    </row>
    <row r="425" spans="1:26">
      <c r="A425" t="s">
        <v>880</v>
      </c>
      <c r="B425">
        <v>11.82</v>
      </c>
      <c r="C425" t="s">
        <v>7</v>
      </c>
      <c r="D425">
        <v>2</v>
      </c>
      <c r="E425" t="s">
        <v>881</v>
      </c>
      <c r="Z425" t="str">
        <f t="shared" si="6"/>
        <v>Normal</v>
      </c>
    </row>
    <row r="426" spans="1:26">
      <c r="A426" t="s">
        <v>882</v>
      </c>
      <c r="B426">
        <v>28.03</v>
      </c>
      <c r="C426" t="s">
        <v>7</v>
      </c>
      <c r="D426">
        <v>1</v>
      </c>
      <c r="E426" t="s">
        <v>883</v>
      </c>
      <c r="Z426" t="str">
        <f t="shared" si="6"/>
        <v>Normal</v>
      </c>
    </row>
    <row r="427" spans="1:26">
      <c r="A427" t="s">
        <v>884</v>
      </c>
      <c r="B427">
        <v>44.05</v>
      </c>
      <c r="C427" t="s">
        <v>7</v>
      </c>
      <c r="D427">
        <v>5</v>
      </c>
      <c r="E427" t="s">
        <v>885</v>
      </c>
      <c r="Z427" t="str">
        <f t="shared" si="6"/>
        <v>Normal</v>
      </c>
    </row>
    <row r="428" spans="1:26">
      <c r="A428" t="s">
        <v>886</v>
      </c>
      <c r="B428">
        <v>12.34</v>
      </c>
      <c r="C428" t="s">
        <v>7</v>
      </c>
      <c r="D428">
        <v>4</v>
      </c>
      <c r="E428" t="s">
        <v>887</v>
      </c>
      <c r="Z428" t="str">
        <f t="shared" si="6"/>
        <v>Normal</v>
      </c>
    </row>
    <row r="429" spans="1:26">
      <c r="A429" t="s">
        <v>888</v>
      </c>
      <c r="B429">
        <v>16.68</v>
      </c>
      <c r="C429" t="s">
        <v>7</v>
      </c>
      <c r="D429">
        <v>2</v>
      </c>
      <c r="E429" t="s">
        <v>889</v>
      </c>
      <c r="Z429" t="str">
        <f t="shared" si="6"/>
        <v>Normal</v>
      </c>
    </row>
    <row r="430" spans="1:26">
      <c r="A430" t="s">
        <v>890</v>
      </c>
      <c r="B430">
        <v>55.91</v>
      </c>
      <c r="C430" t="s">
        <v>7</v>
      </c>
      <c r="D430">
        <v>1</v>
      </c>
      <c r="E430" t="s">
        <v>891</v>
      </c>
      <c r="Z430" t="str">
        <f t="shared" si="6"/>
        <v>Normal</v>
      </c>
    </row>
    <row r="431" spans="1:26">
      <c r="A431" t="s">
        <v>892</v>
      </c>
      <c r="B431">
        <v>24.57</v>
      </c>
      <c r="C431" t="s">
        <v>7</v>
      </c>
      <c r="D431">
        <v>3</v>
      </c>
      <c r="E431" t="s">
        <v>893</v>
      </c>
      <c r="Z431" t="str">
        <f t="shared" si="6"/>
        <v>Normal</v>
      </c>
    </row>
    <row r="432" spans="1:26">
      <c r="A432" t="s">
        <v>894</v>
      </c>
      <c r="B432">
        <v>52.98</v>
      </c>
      <c r="C432" t="s">
        <v>7</v>
      </c>
      <c r="D432">
        <v>5</v>
      </c>
      <c r="E432" t="s">
        <v>895</v>
      </c>
      <c r="Z432" t="str">
        <f t="shared" si="6"/>
        <v>Normal</v>
      </c>
    </row>
    <row r="433" spans="1:26">
      <c r="A433" t="s">
        <v>896</v>
      </c>
      <c r="B433">
        <v>54.4</v>
      </c>
      <c r="C433" t="s">
        <v>7</v>
      </c>
      <c r="D433">
        <v>1</v>
      </c>
      <c r="E433" t="s">
        <v>897</v>
      </c>
      <c r="Z433" t="str">
        <f t="shared" si="6"/>
        <v>Normal</v>
      </c>
    </row>
    <row r="434" spans="1:26">
      <c r="A434" t="s">
        <v>898</v>
      </c>
      <c r="B434">
        <v>54.81</v>
      </c>
      <c r="C434" t="s">
        <v>7</v>
      </c>
      <c r="D434">
        <v>5</v>
      </c>
      <c r="E434" t="s">
        <v>899</v>
      </c>
      <c r="Z434" t="str">
        <f t="shared" si="6"/>
        <v>Normal</v>
      </c>
    </row>
    <row r="435" spans="1:26">
      <c r="A435" t="s">
        <v>900</v>
      </c>
      <c r="B435">
        <v>25.08</v>
      </c>
      <c r="C435" t="s">
        <v>7</v>
      </c>
      <c r="D435">
        <v>1</v>
      </c>
      <c r="E435" t="s">
        <v>901</v>
      </c>
      <c r="Z435" t="str">
        <f t="shared" si="6"/>
        <v>Normal</v>
      </c>
    </row>
    <row r="436" spans="1:26">
      <c r="A436" t="s">
        <v>902</v>
      </c>
      <c r="B436">
        <v>10.41</v>
      </c>
      <c r="C436" t="s">
        <v>7</v>
      </c>
      <c r="D436">
        <v>4</v>
      </c>
      <c r="E436" t="s">
        <v>903</v>
      </c>
      <c r="Z436" t="str">
        <f t="shared" si="6"/>
        <v>Normal</v>
      </c>
    </row>
    <row r="437" spans="1:26">
      <c r="A437" t="s">
        <v>904</v>
      </c>
      <c r="B437">
        <v>47.44</v>
      </c>
      <c r="C437" t="s">
        <v>7</v>
      </c>
      <c r="D437">
        <v>2</v>
      </c>
      <c r="E437" t="s">
        <v>905</v>
      </c>
      <c r="Z437" t="str">
        <f t="shared" si="6"/>
        <v>Normal</v>
      </c>
    </row>
    <row r="438" spans="1:26">
      <c r="A438" t="s">
        <v>906</v>
      </c>
      <c r="B438">
        <v>20.91</v>
      </c>
      <c r="C438" t="s">
        <v>7</v>
      </c>
      <c r="D438">
        <v>1</v>
      </c>
      <c r="E438" t="s">
        <v>907</v>
      </c>
      <c r="Z438" t="str">
        <f t="shared" si="6"/>
        <v>Normal</v>
      </c>
    </row>
    <row r="439" spans="1:26">
      <c r="A439" t="s">
        <v>908</v>
      </c>
      <c r="B439">
        <v>33.950000000000003</v>
      </c>
      <c r="C439" t="s">
        <v>7</v>
      </c>
      <c r="D439">
        <v>4</v>
      </c>
      <c r="E439" t="s">
        <v>909</v>
      </c>
      <c r="Z439" t="str">
        <f t="shared" si="6"/>
        <v>Normal</v>
      </c>
    </row>
    <row r="440" spans="1:26">
      <c r="A440" t="s">
        <v>910</v>
      </c>
      <c r="B440">
        <v>43.68</v>
      </c>
      <c r="C440" t="s">
        <v>7</v>
      </c>
      <c r="D440">
        <v>3</v>
      </c>
      <c r="E440" t="s">
        <v>911</v>
      </c>
      <c r="Z440" t="str">
        <f t="shared" si="6"/>
        <v>Normal</v>
      </c>
    </row>
    <row r="441" spans="1:26">
      <c r="A441" t="s">
        <v>912</v>
      </c>
      <c r="B441">
        <v>33.229999999999997</v>
      </c>
      <c r="C441" t="s">
        <v>7</v>
      </c>
      <c r="D441">
        <v>1</v>
      </c>
      <c r="E441" t="s">
        <v>913</v>
      </c>
      <c r="Z441" t="str">
        <f t="shared" si="6"/>
        <v>Normal</v>
      </c>
    </row>
    <row r="442" spans="1:26">
      <c r="A442" t="s">
        <v>914</v>
      </c>
      <c r="B442">
        <v>35.92</v>
      </c>
      <c r="C442" t="s">
        <v>7</v>
      </c>
      <c r="D442">
        <v>2</v>
      </c>
      <c r="E442" t="s">
        <v>915</v>
      </c>
      <c r="Z442" t="str">
        <f t="shared" si="6"/>
        <v>Normal</v>
      </c>
    </row>
    <row r="443" spans="1:26">
      <c r="A443" t="s">
        <v>916</v>
      </c>
      <c r="B443">
        <v>48.63</v>
      </c>
      <c r="C443" t="s">
        <v>7</v>
      </c>
      <c r="D443">
        <v>4</v>
      </c>
      <c r="E443" t="s">
        <v>917</v>
      </c>
      <c r="Z443" t="str">
        <f t="shared" si="6"/>
        <v>Normal</v>
      </c>
    </row>
    <row r="444" spans="1:26">
      <c r="A444" t="s">
        <v>918</v>
      </c>
      <c r="B444">
        <v>56.63</v>
      </c>
      <c r="C444" t="s">
        <v>7</v>
      </c>
      <c r="D444">
        <v>3</v>
      </c>
      <c r="E444" t="s">
        <v>919</v>
      </c>
      <c r="Z444" t="str">
        <f t="shared" si="6"/>
        <v>Normal</v>
      </c>
    </row>
    <row r="445" spans="1:26">
      <c r="A445" t="s">
        <v>920</v>
      </c>
      <c r="B445">
        <v>50.49</v>
      </c>
      <c r="C445" t="s">
        <v>7</v>
      </c>
      <c r="D445">
        <v>3</v>
      </c>
      <c r="E445" t="s">
        <v>921</v>
      </c>
      <c r="Z445" t="str">
        <f t="shared" si="6"/>
        <v>Normal</v>
      </c>
    </row>
    <row r="446" spans="1:26">
      <c r="A446" t="s">
        <v>922</v>
      </c>
      <c r="B446">
        <v>35.79</v>
      </c>
      <c r="C446" t="s">
        <v>7</v>
      </c>
      <c r="D446">
        <v>2</v>
      </c>
      <c r="E446" t="s">
        <v>923</v>
      </c>
      <c r="Z446" t="str">
        <f t="shared" si="6"/>
        <v>Normal</v>
      </c>
    </row>
    <row r="447" spans="1:26">
      <c r="A447" t="s">
        <v>924</v>
      </c>
      <c r="B447">
        <v>34.06</v>
      </c>
      <c r="C447" t="s">
        <v>7</v>
      </c>
      <c r="D447">
        <v>3</v>
      </c>
      <c r="E447" t="s">
        <v>925</v>
      </c>
      <c r="Z447" t="str">
        <f t="shared" si="6"/>
        <v>Normal</v>
      </c>
    </row>
    <row r="448" spans="1:26">
      <c r="A448" t="s">
        <v>926</v>
      </c>
      <c r="B448">
        <v>17.760000000000002</v>
      </c>
      <c r="C448" t="s">
        <v>7</v>
      </c>
      <c r="D448">
        <v>1</v>
      </c>
      <c r="E448" t="s">
        <v>927</v>
      </c>
      <c r="Z448" t="str">
        <f t="shared" si="6"/>
        <v>Normal</v>
      </c>
    </row>
    <row r="449" spans="1:26">
      <c r="A449" t="s">
        <v>928</v>
      </c>
      <c r="B449">
        <v>39.36</v>
      </c>
      <c r="C449" t="s">
        <v>7</v>
      </c>
      <c r="D449">
        <v>2</v>
      </c>
      <c r="E449" t="s">
        <v>929</v>
      </c>
      <c r="Z449" t="str">
        <f t="shared" si="6"/>
        <v>Normal</v>
      </c>
    </row>
    <row r="450" spans="1:26">
      <c r="A450" t="s">
        <v>930</v>
      </c>
      <c r="B450">
        <v>36.94</v>
      </c>
      <c r="C450" t="s">
        <v>7</v>
      </c>
      <c r="D450">
        <v>2</v>
      </c>
      <c r="E450" t="s">
        <v>931</v>
      </c>
      <c r="Z450" t="str">
        <f t="shared" si="6"/>
        <v>Normal</v>
      </c>
    </row>
    <row r="451" spans="1:26">
      <c r="A451" t="s">
        <v>932</v>
      </c>
      <c r="B451">
        <v>43.62</v>
      </c>
      <c r="C451" t="s">
        <v>7</v>
      </c>
      <c r="D451">
        <v>5</v>
      </c>
      <c r="E451" t="s">
        <v>933</v>
      </c>
      <c r="Z451" t="str">
        <f t="shared" si="6"/>
        <v>Normal</v>
      </c>
    </row>
    <row r="452" spans="1:26">
      <c r="A452" t="s">
        <v>934</v>
      </c>
      <c r="B452">
        <v>43.02</v>
      </c>
      <c r="C452" t="s">
        <v>7</v>
      </c>
      <c r="D452">
        <v>3</v>
      </c>
      <c r="E452" t="s">
        <v>935</v>
      </c>
      <c r="Z452" t="str">
        <f t="shared" si="6"/>
        <v>Normal</v>
      </c>
    </row>
    <row r="453" spans="1:26">
      <c r="A453" t="s">
        <v>936</v>
      </c>
      <c r="B453">
        <v>28.45</v>
      </c>
      <c r="C453" t="s">
        <v>7</v>
      </c>
      <c r="D453">
        <v>4</v>
      </c>
      <c r="E453" t="s">
        <v>937</v>
      </c>
      <c r="Z453" t="str">
        <f t="shared" si="6"/>
        <v>Normal</v>
      </c>
    </row>
    <row r="454" spans="1:26">
      <c r="A454" t="s">
        <v>938</v>
      </c>
      <c r="B454">
        <v>41.39</v>
      </c>
      <c r="C454" t="s">
        <v>7</v>
      </c>
      <c r="D454">
        <v>2</v>
      </c>
      <c r="E454" t="s">
        <v>939</v>
      </c>
      <c r="Z454" t="str">
        <f t="shared" si="6"/>
        <v>Normal</v>
      </c>
    </row>
    <row r="455" spans="1:26">
      <c r="A455" t="s">
        <v>940</v>
      </c>
      <c r="B455">
        <v>51.15</v>
      </c>
      <c r="C455" t="s">
        <v>7</v>
      </c>
      <c r="D455">
        <v>1</v>
      </c>
      <c r="E455" t="s">
        <v>941</v>
      </c>
      <c r="Z455" t="str">
        <f t="shared" si="6"/>
        <v>Normal</v>
      </c>
    </row>
    <row r="456" spans="1:26">
      <c r="A456" t="s">
        <v>942</v>
      </c>
      <c r="B456">
        <v>35.880000000000003</v>
      </c>
      <c r="C456" t="s">
        <v>7</v>
      </c>
      <c r="D456">
        <v>1</v>
      </c>
      <c r="E456" t="s">
        <v>943</v>
      </c>
      <c r="Z456" t="str">
        <f t="shared" ref="Z456:Z519" si="7">IF(OR(B456&lt;$U$13, B456&gt;$U$14),"Outlier","Normal")</f>
        <v>Normal</v>
      </c>
    </row>
    <row r="457" spans="1:26">
      <c r="A457" t="s">
        <v>944</v>
      </c>
      <c r="B457">
        <v>36.909999999999997</v>
      </c>
      <c r="C457" t="s">
        <v>7</v>
      </c>
      <c r="D457">
        <v>1</v>
      </c>
      <c r="E457" t="s">
        <v>945</v>
      </c>
      <c r="Z457" t="str">
        <f t="shared" si="7"/>
        <v>Normal</v>
      </c>
    </row>
    <row r="458" spans="1:26">
      <c r="A458" t="s">
        <v>946</v>
      </c>
      <c r="B458">
        <v>28.93</v>
      </c>
      <c r="C458" t="s">
        <v>7</v>
      </c>
      <c r="D458">
        <v>1</v>
      </c>
      <c r="E458" t="s">
        <v>947</v>
      </c>
      <c r="Z458" t="str">
        <f t="shared" si="7"/>
        <v>Normal</v>
      </c>
    </row>
    <row r="459" spans="1:26">
      <c r="A459" t="s">
        <v>948</v>
      </c>
      <c r="B459">
        <v>38.89</v>
      </c>
      <c r="C459" t="s">
        <v>7</v>
      </c>
      <c r="D459">
        <v>5</v>
      </c>
      <c r="E459" t="s">
        <v>949</v>
      </c>
      <c r="Z459" t="str">
        <f t="shared" si="7"/>
        <v>Normal</v>
      </c>
    </row>
    <row r="460" spans="1:26">
      <c r="A460" t="s">
        <v>950</v>
      </c>
      <c r="B460">
        <v>58.33</v>
      </c>
      <c r="C460" t="s">
        <v>7</v>
      </c>
      <c r="D460">
        <v>3</v>
      </c>
      <c r="E460" t="s">
        <v>951</v>
      </c>
      <c r="Z460" t="str">
        <f t="shared" si="7"/>
        <v>Normal</v>
      </c>
    </row>
    <row r="461" spans="1:26">
      <c r="A461" t="s">
        <v>952</v>
      </c>
      <c r="B461">
        <v>39.67</v>
      </c>
      <c r="C461" t="s">
        <v>7</v>
      </c>
      <c r="D461">
        <v>5</v>
      </c>
      <c r="E461" t="s">
        <v>953</v>
      </c>
      <c r="Z461" t="str">
        <f t="shared" si="7"/>
        <v>Normal</v>
      </c>
    </row>
    <row r="462" spans="1:26">
      <c r="A462" t="s">
        <v>954</v>
      </c>
      <c r="B462">
        <v>14.1</v>
      </c>
      <c r="C462" t="s">
        <v>7</v>
      </c>
      <c r="D462">
        <v>5</v>
      </c>
      <c r="E462" t="s">
        <v>955</v>
      </c>
      <c r="Z462" t="str">
        <f t="shared" si="7"/>
        <v>Normal</v>
      </c>
    </row>
    <row r="463" spans="1:26">
      <c r="A463" t="s">
        <v>956</v>
      </c>
      <c r="B463">
        <v>21.82</v>
      </c>
      <c r="C463" t="s">
        <v>7</v>
      </c>
      <c r="D463">
        <v>3</v>
      </c>
      <c r="E463" t="s">
        <v>957</v>
      </c>
      <c r="Z463" t="str">
        <f t="shared" si="7"/>
        <v>Normal</v>
      </c>
    </row>
    <row r="464" spans="1:26">
      <c r="A464" t="s">
        <v>958</v>
      </c>
      <c r="B464">
        <v>54.21</v>
      </c>
      <c r="C464" t="s">
        <v>7</v>
      </c>
      <c r="D464">
        <v>1</v>
      </c>
      <c r="E464" t="s">
        <v>959</v>
      </c>
      <c r="Z464" t="str">
        <f t="shared" si="7"/>
        <v>Normal</v>
      </c>
    </row>
    <row r="465" spans="1:26">
      <c r="A465" t="s">
        <v>960</v>
      </c>
      <c r="B465">
        <v>31.19</v>
      </c>
      <c r="C465" t="s">
        <v>7</v>
      </c>
      <c r="D465">
        <v>4</v>
      </c>
      <c r="E465" t="s">
        <v>961</v>
      </c>
      <c r="Z465" t="str">
        <f t="shared" si="7"/>
        <v>Normal</v>
      </c>
    </row>
    <row r="466" spans="1:26">
      <c r="A466" t="s">
        <v>962</v>
      </c>
      <c r="B466">
        <v>53.64</v>
      </c>
      <c r="C466" t="s">
        <v>7</v>
      </c>
      <c r="D466">
        <v>5</v>
      </c>
      <c r="E466" t="s">
        <v>963</v>
      </c>
      <c r="Z466" t="str">
        <f t="shared" si="7"/>
        <v>Normal</v>
      </c>
    </row>
    <row r="467" spans="1:26">
      <c r="A467" t="s">
        <v>964</v>
      </c>
      <c r="B467">
        <v>36.39</v>
      </c>
      <c r="C467" t="s">
        <v>7</v>
      </c>
      <c r="D467">
        <v>5</v>
      </c>
      <c r="E467" t="s">
        <v>965</v>
      </c>
      <c r="Z467" t="str">
        <f t="shared" si="7"/>
        <v>Normal</v>
      </c>
    </row>
    <row r="468" spans="1:26">
      <c r="A468" t="s">
        <v>966</v>
      </c>
      <c r="B468">
        <v>58.54</v>
      </c>
      <c r="C468" t="s">
        <v>7</v>
      </c>
      <c r="D468">
        <v>2</v>
      </c>
      <c r="E468" t="s">
        <v>967</v>
      </c>
      <c r="Z468" t="str">
        <f t="shared" si="7"/>
        <v>Normal</v>
      </c>
    </row>
    <row r="469" spans="1:26">
      <c r="A469" t="s">
        <v>968</v>
      </c>
      <c r="B469">
        <v>29.48</v>
      </c>
      <c r="C469" t="s">
        <v>7</v>
      </c>
      <c r="D469">
        <v>3</v>
      </c>
      <c r="E469" t="s">
        <v>969</v>
      </c>
      <c r="Z469" t="str">
        <f t="shared" si="7"/>
        <v>Normal</v>
      </c>
    </row>
    <row r="470" spans="1:26">
      <c r="A470" t="s">
        <v>970</v>
      </c>
      <c r="B470">
        <v>25.06</v>
      </c>
      <c r="C470" t="s">
        <v>7</v>
      </c>
      <c r="D470">
        <v>2</v>
      </c>
      <c r="E470" t="s">
        <v>971</v>
      </c>
      <c r="Z470" t="str">
        <f t="shared" si="7"/>
        <v>Normal</v>
      </c>
    </row>
    <row r="471" spans="1:26">
      <c r="A471" t="s">
        <v>972</v>
      </c>
      <c r="B471">
        <v>12.55</v>
      </c>
      <c r="C471" t="s">
        <v>7</v>
      </c>
      <c r="D471">
        <v>3</v>
      </c>
      <c r="E471" t="s">
        <v>973</v>
      </c>
      <c r="Z471" t="str">
        <f t="shared" si="7"/>
        <v>Normal</v>
      </c>
    </row>
    <row r="472" spans="1:26">
      <c r="A472" t="s">
        <v>974</v>
      </c>
      <c r="B472">
        <v>29.04</v>
      </c>
      <c r="C472" t="s">
        <v>7</v>
      </c>
      <c r="D472">
        <v>5</v>
      </c>
      <c r="E472" t="s">
        <v>975</v>
      </c>
      <c r="Z472" t="str">
        <f t="shared" si="7"/>
        <v>Normal</v>
      </c>
    </row>
    <row r="473" spans="1:26">
      <c r="A473" t="s">
        <v>976</v>
      </c>
      <c r="B473">
        <v>40.72</v>
      </c>
      <c r="C473" t="s">
        <v>7</v>
      </c>
      <c r="D473">
        <v>2</v>
      </c>
      <c r="E473" t="s">
        <v>977</v>
      </c>
      <c r="Z473" t="str">
        <f t="shared" si="7"/>
        <v>Normal</v>
      </c>
    </row>
    <row r="474" spans="1:26">
      <c r="A474" t="s">
        <v>978</v>
      </c>
      <c r="B474">
        <v>45.05</v>
      </c>
      <c r="C474" t="s">
        <v>7</v>
      </c>
      <c r="D474">
        <v>5</v>
      </c>
      <c r="E474" t="s">
        <v>979</v>
      </c>
      <c r="Z474" t="str">
        <f t="shared" si="7"/>
        <v>Normal</v>
      </c>
    </row>
    <row r="475" spans="1:26">
      <c r="A475" t="s">
        <v>980</v>
      </c>
      <c r="B475">
        <v>47.13</v>
      </c>
      <c r="C475" t="s">
        <v>7</v>
      </c>
      <c r="D475">
        <v>1</v>
      </c>
      <c r="E475" t="s">
        <v>981</v>
      </c>
      <c r="Z475" t="str">
        <f t="shared" si="7"/>
        <v>Normal</v>
      </c>
    </row>
    <row r="476" spans="1:26">
      <c r="A476" t="s">
        <v>982</v>
      </c>
      <c r="B476">
        <v>20.22</v>
      </c>
      <c r="C476" t="s">
        <v>7</v>
      </c>
      <c r="D476">
        <v>4</v>
      </c>
      <c r="E476" t="s">
        <v>983</v>
      </c>
      <c r="Z476" t="str">
        <f t="shared" si="7"/>
        <v>Normal</v>
      </c>
    </row>
    <row r="477" spans="1:26">
      <c r="A477" t="s">
        <v>984</v>
      </c>
      <c r="B477">
        <v>56.48</v>
      </c>
      <c r="C477" t="s">
        <v>7</v>
      </c>
      <c r="D477">
        <v>1</v>
      </c>
      <c r="E477" t="s">
        <v>985</v>
      </c>
      <c r="Z477" t="str">
        <f t="shared" si="7"/>
        <v>Normal</v>
      </c>
    </row>
    <row r="478" spans="1:26">
      <c r="A478" t="s">
        <v>986</v>
      </c>
      <c r="B478">
        <v>44.21</v>
      </c>
      <c r="C478" t="s">
        <v>7</v>
      </c>
      <c r="D478">
        <v>1</v>
      </c>
      <c r="E478" t="s">
        <v>987</v>
      </c>
      <c r="Z478" t="str">
        <f t="shared" si="7"/>
        <v>Normal</v>
      </c>
    </row>
    <row r="479" spans="1:26">
      <c r="A479" t="s">
        <v>988</v>
      </c>
      <c r="B479">
        <v>21.96</v>
      </c>
      <c r="C479" t="s">
        <v>7</v>
      </c>
      <c r="D479">
        <v>4</v>
      </c>
      <c r="E479" t="s">
        <v>989</v>
      </c>
      <c r="Z479" t="str">
        <f t="shared" si="7"/>
        <v>Normal</v>
      </c>
    </row>
    <row r="480" spans="1:26">
      <c r="A480" t="s">
        <v>990</v>
      </c>
      <c r="B480">
        <v>40.450000000000003</v>
      </c>
      <c r="C480" t="s">
        <v>7</v>
      </c>
      <c r="D480">
        <v>2</v>
      </c>
      <c r="E480" t="s">
        <v>991</v>
      </c>
      <c r="Z480" t="str">
        <f t="shared" si="7"/>
        <v>Normal</v>
      </c>
    </row>
    <row r="481" spans="1:26">
      <c r="A481" t="s">
        <v>992</v>
      </c>
      <c r="B481">
        <v>10.29</v>
      </c>
      <c r="C481" t="s">
        <v>7</v>
      </c>
      <c r="D481">
        <v>4</v>
      </c>
      <c r="E481" t="s">
        <v>993</v>
      </c>
      <c r="Z481" t="str">
        <f t="shared" si="7"/>
        <v>Normal</v>
      </c>
    </row>
    <row r="482" spans="1:26">
      <c r="A482" t="s">
        <v>994</v>
      </c>
      <c r="B482">
        <v>52.86</v>
      </c>
      <c r="C482" t="s">
        <v>7</v>
      </c>
      <c r="D482">
        <v>2</v>
      </c>
      <c r="E482" t="s">
        <v>995</v>
      </c>
      <c r="Z482" t="str">
        <f t="shared" si="7"/>
        <v>Normal</v>
      </c>
    </row>
    <row r="483" spans="1:26">
      <c r="A483" t="s">
        <v>996</v>
      </c>
      <c r="B483">
        <v>55.65</v>
      </c>
      <c r="C483" t="s">
        <v>7</v>
      </c>
      <c r="D483">
        <v>5</v>
      </c>
      <c r="E483" t="s">
        <v>997</v>
      </c>
      <c r="Z483" t="str">
        <f t="shared" si="7"/>
        <v>Normal</v>
      </c>
    </row>
    <row r="484" spans="1:26">
      <c r="A484" t="s">
        <v>998</v>
      </c>
      <c r="B484">
        <v>43.64</v>
      </c>
      <c r="C484" t="s">
        <v>7</v>
      </c>
      <c r="D484">
        <v>1</v>
      </c>
      <c r="E484" t="s">
        <v>999</v>
      </c>
      <c r="Z484" t="str">
        <f t="shared" si="7"/>
        <v>Normal</v>
      </c>
    </row>
    <row r="485" spans="1:26">
      <c r="A485" t="s">
        <v>1000</v>
      </c>
      <c r="B485">
        <v>28.41</v>
      </c>
      <c r="C485" t="s">
        <v>7</v>
      </c>
      <c r="D485">
        <v>1</v>
      </c>
      <c r="E485" t="s">
        <v>1001</v>
      </c>
      <c r="Z485" t="str">
        <f t="shared" si="7"/>
        <v>Normal</v>
      </c>
    </row>
    <row r="486" spans="1:26">
      <c r="A486" t="s">
        <v>1002</v>
      </c>
      <c r="B486">
        <v>37.51</v>
      </c>
      <c r="C486" t="s">
        <v>7</v>
      </c>
      <c r="D486">
        <v>4</v>
      </c>
      <c r="E486" t="s">
        <v>1003</v>
      </c>
      <c r="Z486" t="str">
        <f t="shared" si="7"/>
        <v>Normal</v>
      </c>
    </row>
    <row r="487" spans="1:26">
      <c r="A487" t="s">
        <v>1004</v>
      </c>
      <c r="B487">
        <v>11.45</v>
      </c>
      <c r="C487" t="s">
        <v>7</v>
      </c>
      <c r="D487">
        <v>3</v>
      </c>
      <c r="E487" t="s">
        <v>1005</v>
      </c>
      <c r="Z487" t="str">
        <f t="shared" si="7"/>
        <v>Normal</v>
      </c>
    </row>
    <row r="488" spans="1:26">
      <c r="A488" t="s">
        <v>1006</v>
      </c>
      <c r="B488">
        <v>19.22</v>
      </c>
      <c r="C488" t="s">
        <v>7</v>
      </c>
      <c r="D488">
        <v>2</v>
      </c>
      <c r="E488" t="s">
        <v>1007</v>
      </c>
      <c r="Z488" t="str">
        <f t="shared" si="7"/>
        <v>Normal</v>
      </c>
    </row>
    <row r="489" spans="1:26">
      <c r="A489" t="s">
        <v>1008</v>
      </c>
      <c r="B489">
        <v>56.91</v>
      </c>
      <c r="C489" t="s">
        <v>7</v>
      </c>
      <c r="D489">
        <v>4</v>
      </c>
      <c r="E489" t="s">
        <v>1009</v>
      </c>
      <c r="Z489" t="str">
        <f t="shared" si="7"/>
        <v>Normal</v>
      </c>
    </row>
    <row r="490" spans="1:26">
      <c r="A490" t="s">
        <v>1010</v>
      </c>
      <c r="B490">
        <v>55.06</v>
      </c>
      <c r="C490" t="s">
        <v>7</v>
      </c>
      <c r="D490">
        <v>4</v>
      </c>
      <c r="E490" t="s">
        <v>1011</v>
      </c>
      <c r="Z490" t="str">
        <f t="shared" si="7"/>
        <v>Normal</v>
      </c>
    </row>
    <row r="491" spans="1:26">
      <c r="A491" t="s">
        <v>1012</v>
      </c>
      <c r="B491">
        <v>13.2</v>
      </c>
      <c r="C491" t="s">
        <v>7</v>
      </c>
      <c r="D491">
        <v>3</v>
      </c>
      <c r="E491" t="s">
        <v>1013</v>
      </c>
      <c r="Z491" t="str">
        <f t="shared" si="7"/>
        <v>Normal</v>
      </c>
    </row>
    <row r="492" spans="1:26">
      <c r="A492" t="s">
        <v>1014</v>
      </c>
      <c r="B492">
        <v>53.63</v>
      </c>
      <c r="C492" t="s">
        <v>7</v>
      </c>
      <c r="D492">
        <v>2</v>
      </c>
      <c r="E492" t="s">
        <v>1015</v>
      </c>
      <c r="Z492" t="str">
        <f t="shared" si="7"/>
        <v>Normal</v>
      </c>
    </row>
    <row r="493" spans="1:26">
      <c r="A493" t="s">
        <v>1016</v>
      </c>
      <c r="B493">
        <v>44.48</v>
      </c>
      <c r="C493" t="s">
        <v>7</v>
      </c>
      <c r="D493">
        <v>5</v>
      </c>
      <c r="E493" t="s">
        <v>1017</v>
      </c>
      <c r="Z493" t="str">
        <f t="shared" si="7"/>
        <v>Normal</v>
      </c>
    </row>
    <row r="494" spans="1:26">
      <c r="A494" t="s">
        <v>1018</v>
      </c>
      <c r="B494">
        <v>12.08</v>
      </c>
      <c r="C494" t="s">
        <v>7</v>
      </c>
      <c r="D494">
        <v>3</v>
      </c>
      <c r="E494" t="s">
        <v>1019</v>
      </c>
      <c r="Z494" t="str">
        <f t="shared" si="7"/>
        <v>Normal</v>
      </c>
    </row>
    <row r="495" spans="1:26">
      <c r="A495" t="s">
        <v>1020</v>
      </c>
      <c r="B495">
        <v>22.14</v>
      </c>
      <c r="C495" t="s">
        <v>7</v>
      </c>
      <c r="D495">
        <v>2</v>
      </c>
      <c r="E495" t="s">
        <v>1021</v>
      </c>
      <c r="Z495" t="str">
        <f t="shared" si="7"/>
        <v>Normal</v>
      </c>
    </row>
    <row r="496" spans="1:26">
      <c r="A496" t="s">
        <v>1022</v>
      </c>
      <c r="B496">
        <v>25.37</v>
      </c>
      <c r="C496" t="s">
        <v>7</v>
      </c>
      <c r="D496">
        <v>5</v>
      </c>
      <c r="E496" t="s">
        <v>1023</v>
      </c>
      <c r="Z496" t="str">
        <f t="shared" si="7"/>
        <v>Normal</v>
      </c>
    </row>
    <row r="497" spans="1:26">
      <c r="A497" t="s">
        <v>1024</v>
      </c>
      <c r="B497">
        <v>46.33</v>
      </c>
      <c r="C497" t="s">
        <v>7</v>
      </c>
      <c r="D497">
        <v>2</v>
      </c>
      <c r="E497" t="s">
        <v>1025</v>
      </c>
      <c r="Z497" t="str">
        <f t="shared" si="7"/>
        <v>Normal</v>
      </c>
    </row>
    <row r="498" spans="1:26">
      <c r="A498" t="s">
        <v>1026</v>
      </c>
      <c r="B498">
        <v>37.33</v>
      </c>
      <c r="C498" t="s">
        <v>7</v>
      </c>
      <c r="D498">
        <v>3</v>
      </c>
      <c r="E498" t="s">
        <v>1027</v>
      </c>
      <c r="Z498" t="str">
        <f t="shared" si="7"/>
        <v>Normal</v>
      </c>
    </row>
    <row r="499" spans="1:26">
      <c r="A499" t="s">
        <v>1028</v>
      </c>
      <c r="B499">
        <v>25.55</v>
      </c>
      <c r="C499" t="s">
        <v>7</v>
      </c>
      <c r="D499">
        <v>1</v>
      </c>
      <c r="E499" t="s">
        <v>1029</v>
      </c>
      <c r="Z499" t="str">
        <f t="shared" si="7"/>
        <v>Normal</v>
      </c>
    </row>
    <row r="500" spans="1:26">
      <c r="A500" t="s">
        <v>1030</v>
      </c>
      <c r="B500">
        <v>34.72</v>
      </c>
      <c r="C500" t="s">
        <v>7</v>
      </c>
      <c r="D500">
        <v>1</v>
      </c>
      <c r="E500" t="s">
        <v>1031</v>
      </c>
      <c r="Z500" t="str">
        <f t="shared" si="7"/>
        <v>Normal</v>
      </c>
    </row>
    <row r="501" spans="1:26">
      <c r="A501" t="s">
        <v>1032</v>
      </c>
      <c r="B501">
        <v>35.96</v>
      </c>
      <c r="C501" t="s">
        <v>7</v>
      </c>
      <c r="D501">
        <v>4</v>
      </c>
      <c r="E501" t="s">
        <v>1033</v>
      </c>
      <c r="Z501" t="str">
        <f t="shared" si="7"/>
        <v>Normal</v>
      </c>
    </row>
    <row r="502" spans="1:26">
      <c r="A502" t="s">
        <v>1034</v>
      </c>
      <c r="B502">
        <v>41.14</v>
      </c>
      <c r="C502" t="s">
        <v>7</v>
      </c>
      <c r="D502">
        <v>4</v>
      </c>
      <c r="E502" t="s">
        <v>1035</v>
      </c>
      <c r="Z502" t="str">
        <f t="shared" si="7"/>
        <v>Normal</v>
      </c>
    </row>
    <row r="503" spans="1:26">
      <c r="A503" t="s">
        <v>1036</v>
      </c>
      <c r="B503">
        <v>10.01</v>
      </c>
      <c r="C503" t="s">
        <v>7</v>
      </c>
      <c r="D503">
        <v>4</v>
      </c>
      <c r="E503" t="s">
        <v>1037</v>
      </c>
      <c r="Z503" t="str">
        <f t="shared" si="7"/>
        <v>Normal</v>
      </c>
    </row>
    <row r="504" spans="1:26">
      <c r="A504" t="s">
        <v>1038</v>
      </c>
      <c r="B504">
        <v>36.049999999999997</v>
      </c>
      <c r="C504" t="s">
        <v>7</v>
      </c>
      <c r="D504">
        <v>4</v>
      </c>
      <c r="E504" t="s">
        <v>1039</v>
      </c>
      <c r="Z504" t="str">
        <f t="shared" si="7"/>
        <v>Normal</v>
      </c>
    </row>
    <row r="505" spans="1:26">
      <c r="A505" t="s">
        <v>1040</v>
      </c>
      <c r="B505">
        <v>49.03</v>
      </c>
      <c r="C505" t="s">
        <v>7</v>
      </c>
      <c r="D505">
        <v>3</v>
      </c>
      <c r="E505" t="s">
        <v>1041</v>
      </c>
      <c r="Z505" t="str">
        <f t="shared" si="7"/>
        <v>Normal</v>
      </c>
    </row>
    <row r="506" spans="1:26">
      <c r="A506" t="s">
        <v>1042</v>
      </c>
      <c r="B506">
        <v>16.239999999999998</v>
      </c>
      <c r="C506" t="s">
        <v>7</v>
      </c>
      <c r="D506">
        <v>1</v>
      </c>
      <c r="E506" t="s">
        <v>1043</v>
      </c>
      <c r="Z506" t="str">
        <f t="shared" si="7"/>
        <v>Normal</v>
      </c>
    </row>
    <row r="507" spans="1:26">
      <c r="A507" t="s">
        <v>1044</v>
      </c>
      <c r="B507">
        <v>39.549999999999997</v>
      </c>
      <c r="C507" t="s">
        <v>7</v>
      </c>
      <c r="D507">
        <v>1</v>
      </c>
      <c r="E507" t="s">
        <v>1045</v>
      </c>
      <c r="Z507" t="str">
        <f t="shared" si="7"/>
        <v>Normal</v>
      </c>
    </row>
    <row r="508" spans="1:26">
      <c r="A508" t="s">
        <v>1046</v>
      </c>
      <c r="B508">
        <v>35.67</v>
      </c>
      <c r="C508" t="s">
        <v>7</v>
      </c>
      <c r="D508">
        <v>3</v>
      </c>
      <c r="E508" t="s">
        <v>1047</v>
      </c>
      <c r="Z508" t="str">
        <f t="shared" si="7"/>
        <v>Normal</v>
      </c>
    </row>
    <row r="509" spans="1:26">
      <c r="A509" t="s">
        <v>1048</v>
      </c>
      <c r="B509">
        <v>16.62</v>
      </c>
      <c r="C509" t="s">
        <v>7</v>
      </c>
      <c r="D509">
        <v>3</v>
      </c>
      <c r="E509" t="s">
        <v>1049</v>
      </c>
      <c r="Z509" t="str">
        <f t="shared" si="7"/>
        <v>Normal</v>
      </c>
    </row>
    <row r="510" spans="1:26">
      <c r="A510" t="s">
        <v>1050</v>
      </c>
      <c r="B510">
        <v>42.78</v>
      </c>
      <c r="C510" t="s">
        <v>7</v>
      </c>
      <c r="D510">
        <v>4</v>
      </c>
      <c r="E510" t="s">
        <v>1051</v>
      </c>
      <c r="Z510" t="str">
        <f t="shared" si="7"/>
        <v>Normal</v>
      </c>
    </row>
    <row r="511" spans="1:26">
      <c r="A511" t="s">
        <v>1052</v>
      </c>
      <c r="B511">
        <v>52.3</v>
      </c>
      <c r="C511" t="s">
        <v>7</v>
      </c>
      <c r="D511">
        <v>5</v>
      </c>
      <c r="E511" t="s">
        <v>1053</v>
      </c>
      <c r="Z511" t="str">
        <f t="shared" si="7"/>
        <v>Normal</v>
      </c>
    </row>
    <row r="512" spans="1:26">
      <c r="A512" t="s">
        <v>1054</v>
      </c>
      <c r="B512">
        <v>32.340000000000003</v>
      </c>
      <c r="C512" t="s">
        <v>7</v>
      </c>
      <c r="D512">
        <v>2</v>
      </c>
      <c r="E512" t="s">
        <v>1055</v>
      </c>
      <c r="Z512" t="str">
        <f t="shared" si="7"/>
        <v>Normal</v>
      </c>
    </row>
    <row r="513" spans="1:26">
      <c r="A513" t="s">
        <v>1056</v>
      </c>
      <c r="B513">
        <v>33.17</v>
      </c>
      <c r="C513" t="s">
        <v>7</v>
      </c>
      <c r="D513">
        <v>4</v>
      </c>
      <c r="E513" t="s">
        <v>1057</v>
      </c>
      <c r="Z513" t="str">
        <f t="shared" si="7"/>
        <v>Normal</v>
      </c>
    </row>
    <row r="514" spans="1:26">
      <c r="A514" t="s">
        <v>1058</v>
      </c>
      <c r="B514">
        <v>20.12</v>
      </c>
      <c r="C514" t="s">
        <v>7</v>
      </c>
      <c r="D514">
        <v>5</v>
      </c>
      <c r="E514" t="s">
        <v>1059</v>
      </c>
      <c r="Z514" t="str">
        <f t="shared" si="7"/>
        <v>Normal</v>
      </c>
    </row>
    <row r="515" spans="1:26">
      <c r="A515" t="s">
        <v>1060</v>
      </c>
      <c r="B515">
        <v>20.9</v>
      </c>
      <c r="C515" t="s">
        <v>7</v>
      </c>
      <c r="D515">
        <v>2</v>
      </c>
      <c r="E515" t="s">
        <v>1061</v>
      </c>
      <c r="Z515" t="str">
        <f t="shared" si="7"/>
        <v>Normal</v>
      </c>
    </row>
    <row r="516" spans="1:26">
      <c r="A516" t="s">
        <v>1062</v>
      </c>
      <c r="B516">
        <v>20.9</v>
      </c>
      <c r="C516" t="s">
        <v>7</v>
      </c>
      <c r="D516">
        <v>3</v>
      </c>
      <c r="E516" t="s">
        <v>1063</v>
      </c>
      <c r="Z516" t="str">
        <f t="shared" si="7"/>
        <v>Normal</v>
      </c>
    </row>
    <row r="517" spans="1:26">
      <c r="A517" t="s">
        <v>1064</v>
      </c>
      <c r="B517">
        <v>40.200000000000003</v>
      </c>
      <c r="C517" t="s">
        <v>7</v>
      </c>
      <c r="D517">
        <v>4</v>
      </c>
      <c r="E517" t="s">
        <v>1065</v>
      </c>
      <c r="Z517" t="str">
        <f t="shared" si="7"/>
        <v>Normal</v>
      </c>
    </row>
    <row r="518" spans="1:26">
      <c r="A518" t="s">
        <v>1066</v>
      </c>
      <c r="B518">
        <v>52.87</v>
      </c>
      <c r="C518" t="s">
        <v>7</v>
      </c>
      <c r="D518">
        <v>3</v>
      </c>
      <c r="E518" t="s">
        <v>1067</v>
      </c>
      <c r="Z518" t="str">
        <f t="shared" si="7"/>
        <v>Normal</v>
      </c>
    </row>
    <row r="519" spans="1:26">
      <c r="A519" t="s">
        <v>1068</v>
      </c>
      <c r="B519">
        <v>51.74</v>
      </c>
      <c r="C519" t="s">
        <v>7</v>
      </c>
      <c r="D519">
        <v>1</v>
      </c>
      <c r="E519" t="s">
        <v>1069</v>
      </c>
      <c r="Z519" t="str">
        <f t="shared" si="7"/>
        <v>Normal</v>
      </c>
    </row>
    <row r="520" spans="1:26">
      <c r="A520" t="s">
        <v>1070</v>
      </c>
      <c r="B520">
        <v>34.409999999999997</v>
      </c>
      <c r="C520" t="s">
        <v>7</v>
      </c>
      <c r="D520">
        <v>2</v>
      </c>
      <c r="E520" t="s">
        <v>1071</v>
      </c>
      <c r="Z520" t="str">
        <f t="shared" ref="Z520:Z583" si="8">IF(OR(B520&lt;$U$13, B520&gt;$U$14),"Outlier","Normal")</f>
        <v>Normal</v>
      </c>
    </row>
    <row r="521" spans="1:26">
      <c r="A521" t="s">
        <v>1072</v>
      </c>
      <c r="B521">
        <v>32.380000000000003</v>
      </c>
      <c r="C521" t="s">
        <v>7</v>
      </c>
      <c r="D521">
        <v>1</v>
      </c>
      <c r="E521" t="s">
        <v>1073</v>
      </c>
      <c r="Z521" t="str">
        <f t="shared" si="8"/>
        <v>Normal</v>
      </c>
    </row>
    <row r="522" spans="1:26">
      <c r="A522" t="s">
        <v>1074</v>
      </c>
      <c r="B522">
        <v>50.35</v>
      </c>
      <c r="C522" t="s">
        <v>7</v>
      </c>
      <c r="D522">
        <v>4</v>
      </c>
      <c r="E522" t="s">
        <v>1075</v>
      </c>
      <c r="Z522" t="str">
        <f t="shared" si="8"/>
        <v>Normal</v>
      </c>
    </row>
    <row r="523" spans="1:26">
      <c r="A523" t="s">
        <v>1076</v>
      </c>
      <c r="B523">
        <v>11.38</v>
      </c>
      <c r="C523" t="s">
        <v>7</v>
      </c>
      <c r="D523">
        <v>5</v>
      </c>
      <c r="E523" t="s">
        <v>1077</v>
      </c>
      <c r="Z523" t="str">
        <f t="shared" si="8"/>
        <v>Normal</v>
      </c>
    </row>
    <row r="524" spans="1:26">
      <c r="A524" t="s">
        <v>1078</v>
      </c>
      <c r="B524">
        <v>43.58</v>
      </c>
      <c r="C524" t="s">
        <v>7</v>
      </c>
      <c r="D524">
        <v>3</v>
      </c>
      <c r="E524" t="s">
        <v>1079</v>
      </c>
      <c r="Z524" t="str">
        <f t="shared" si="8"/>
        <v>Normal</v>
      </c>
    </row>
    <row r="525" spans="1:26">
      <c r="A525" t="s">
        <v>1080</v>
      </c>
      <c r="B525">
        <v>49.67</v>
      </c>
      <c r="C525" t="s">
        <v>7</v>
      </c>
      <c r="D525">
        <v>3</v>
      </c>
      <c r="E525" t="s">
        <v>1081</v>
      </c>
      <c r="Z525" t="str">
        <f t="shared" si="8"/>
        <v>Normal</v>
      </c>
    </row>
    <row r="526" spans="1:26">
      <c r="A526" t="s">
        <v>1082</v>
      </c>
      <c r="B526">
        <v>28.77</v>
      </c>
      <c r="C526" t="s">
        <v>7</v>
      </c>
      <c r="D526">
        <v>2</v>
      </c>
      <c r="E526" t="s">
        <v>1083</v>
      </c>
      <c r="Z526" t="str">
        <f t="shared" si="8"/>
        <v>Normal</v>
      </c>
    </row>
    <row r="527" spans="1:26">
      <c r="A527" t="s">
        <v>1084</v>
      </c>
      <c r="B527">
        <v>13.22</v>
      </c>
      <c r="C527" t="s">
        <v>7</v>
      </c>
      <c r="D527">
        <v>4</v>
      </c>
      <c r="E527" t="s">
        <v>1085</v>
      </c>
      <c r="Z527" t="str">
        <f t="shared" si="8"/>
        <v>Normal</v>
      </c>
    </row>
    <row r="528" spans="1:26">
      <c r="A528" t="s">
        <v>1086</v>
      </c>
      <c r="B528">
        <v>51.17</v>
      </c>
      <c r="C528" t="s">
        <v>7</v>
      </c>
      <c r="D528">
        <v>5</v>
      </c>
      <c r="E528" t="s">
        <v>1087</v>
      </c>
      <c r="Z528" t="str">
        <f t="shared" si="8"/>
        <v>Normal</v>
      </c>
    </row>
    <row r="529" spans="1:26">
      <c r="A529" t="s">
        <v>1088</v>
      </c>
      <c r="B529">
        <v>39.61</v>
      </c>
      <c r="C529" t="s">
        <v>7</v>
      </c>
      <c r="D529">
        <v>5</v>
      </c>
      <c r="E529" t="s">
        <v>1089</v>
      </c>
      <c r="Z529" t="str">
        <f t="shared" si="8"/>
        <v>Normal</v>
      </c>
    </row>
    <row r="530" spans="1:26">
      <c r="A530" t="s">
        <v>1090</v>
      </c>
      <c r="B530">
        <v>57.43</v>
      </c>
      <c r="C530" t="s">
        <v>7</v>
      </c>
      <c r="D530">
        <v>4</v>
      </c>
      <c r="E530" t="s">
        <v>1091</v>
      </c>
      <c r="Z530" t="str">
        <f t="shared" si="8"/>
        <v>Normal</v>
      </c>
    </row>
    <row r="531" spans="1:26">
      <c r="A531" t="s">
        <v>1092</v>
      </c>
      <c r="B531">
        <v>46.01</v>
      </c>
      <c r="C531" t="s">
        <v>7</v>
      </c>
      <c r="D531">
        <v>4</v>
      </c>
      <c r="E531" t="s">
        <v>1093</v>
      </c>
      <c r="Z531" t="str">
        <f t="shared" si="8"/>
        <v>Normal</v>
      </c>
    </row>
    <row r="532" spans="1:26">
      <c r="A532" t="s">
        <v>1094</v>
      </c>
      <c r="B532">
        <v>28.25</v>
      </c>
      <c r="C532" t="s">
        <v>7</v>
      </c>
      <c r="D532">
        <v>2</v>
      </c>
      <c r="E532" t="s">
        <v>1095</v>
      </c>
      <c r="Z532" t="str">
        <f t="shared" si="8"/>
        <v>Normal</v>
      </c>
    </row>
    <row r="533" spans="1:26">
      <c r="A533" t="s">
        <v>1096</v>
      </c>
      <c r="B533">
        <v>37.049999999999997</v>
      </c>
      <c r="C533" t="s">
        <v>7</v>
      </c>
      <c r="D533">
        <v>5</v>
      </c>
      <c r="E533" t="s">
        <v>1097</v>
      </c>
      <c r="Z533" t="str">
        <f t="shared" si="8"/>
        <v>Normal</v>
      </c>
    </row>
    <row r="534" spans="1:26">
      <c r="A534" t="s">
        <v>1098</v>
      </c>
      <c r="B534">
        <v>19.57</v>
      </c>
      <c r="C534" t="s">
        <v>7</v>
      </c>
      <c r="D534">
        <v>1</v>
      </c>
      <c r="E534" t="s">
        <v>1099</v>
      </c>
      <c r="Z534" t="str">
        <f t="shared" si="8"/>
        <v>Normal</v>
      </c>
    </row>
    <row r="535" spans="1:26">
      <c r="A535" t="s">
        <v>1100</v>
      </c>
      <c r="B535">
        <v>45.13</v>
      </c>
      <c r="C535" t="s">
        <v>7</v>
      </c>
      <c r="D535">
        <v>3</v>
      </c>
      <c r="E535" t="s">
        <v>1101</v>
      </c>
      <c r="Z535" t="str">
        <f t="shared" si="8"/>
        <v>Normal</v>
      </c>
    </row>
    <row r="536" spans="1:26">
      <c r="A536" t="s">
        <v>1102</v>
      </c>
      <c r="B536">
        <v>46.64</v>
      </c>
      <c r="C536" t="s">
        <v>7</v>
      </c>
      <c r="D536">
        <v>2</v>
      </c>
      <c r="E536" t="s">
        <v>1103</v>
      </c>
      <c r="Z536" t="str">
        <f t="shared" si="8"/>
        <v>Normal</v>
      </c>
    </row>
    <row r="537" spans="1:26">
      <c r="A537" t="s">
        <v>1104</v>
      </c>
      <c r="B537">
        <v>12.16</v>
      </c>
      <c r="C537" t="s">
        <v>7</v>
      </c>
      <c r="D537">
        <v>5</v>
      </c>
      <c r="E537" t="s">
        <v>1105</v>
      </c>
      <c r="Z537" t="str">
        <f t="shared" si="8"/>
        <v>Normal</v>
      </c>
    </row>
    <row r="538" spans="1:26">
      <c r="A538" t="s">
        <v>1106</v>
      </c>
      <c r="B538">
        <v>20.89</v>
      </c>
      <c r="C538" t="s">
        <v>7</v>
      </c>
      <c r="D538">
        <v>4</v>
      </c>
      <c r="E538" t="s">
        <v>1107</v>
      </c>
      <c r="Z538" t="str">
        <f t="shared" si="8"/>
        <v>Normal</v>
      </c>
    </row>
    <row r="539" spans="1:26">
      <c r="A539" t="s">
        <v>1108</v>
      </c>
      <c r="B539">
        <v>17.97</v>
      </c>
      <c r="C539" t="s">
        <v>7</v>
      </c>
      <c r="D539">
        <v>5</v>
      </c>
      <c r="E539" t="s">
        <v>1109</v>
      </c>
      <c r="Z539" t="str">
        <f t="shared" si="8"/>
        <v>Normal</v>
      </c>
    </row>
    <row r="540" spans="1:26">
      <c r="A540" t="s">
        <v>1110</v>
      </c>
      <c r="B540">
        <v>52.6</v>
      </c>
      <c r="C540" t="s">
        <v>7</v>
      </c>
      <c r="D540">
        <v>2</v>
      </c>
      <c r="E540" t="s">
        <v>1111</v>
      </c>
      <c r="Z540" t="str">
        <f t="shared" si="8"/>
        <v>Normal</v>
      </c>
    </row>
    <row r="541" spans="1:26">
      <c r="A541" t="s">
        <v>1112</v>
      </c>
      <c r="B541">
        <v>25.77</v>
      </c>
      <c r="C541" t="s">
        <v>7</v>
      </c>
      <c r="D541">
        <v>1</v>
      </c>
      <c r="E541" t="s">
        <v>1113</v>
      </c>
      <c r="Z541" t="str">
        <f t="shared" si="8"/>
        <v>Normal</v>
      </c>
    </row>
    <row r="542" spans="1:26">
      <c r="A542" t="s">
        <v>1114</v>
      </c>
      <c r="B542">
        <v>48.19</v>
      </c>
      <c r="C542" t="s">
        <v>7</v>
      </c>
      <c r="D542">
        <v>3</v>
      </c>
      <c r="E542" t="s">
        <v>1115</v>
      </c>
      <c r="Z542" t="str">
        <f t="shared" si="8"/>
        <v>Normal</v>
      </c>
    </row>
    <row r="543" spans="1:26">
      <c r="A543" t="s">
        <v>1116</v>
      </c>
      <c r="B543">
        <v>29.93</v>
      </c>
      <c r="C543" t="s">
        <v>7</v>
      </c>
      <c r="D543">
        <v>5</v>
      </c>
      <c r="E543" t="s">
        <v>1117</v>
      </c>
      <c r="Z543" t="str">
        <f t="shared" si="8"/>
        <v>Normal</v>
      </c>
    </row>
    <row r="544" spans="1:26">
      <c r="A544" t="s">
        <v>1118</v>
      </c>
      <c r="B544">
        <v>44.34</v>
      </c>
      <c r="C544" t="s">
        <v>7</v>
      </c>
      <c r="D544">
        <v>2</v>
      </c>
      <c r="E544" t="s">
        <v>1119</v>
      </c>
      <c r="Z544" t="str">
        <f t="shared" si="8"/>
        <v>Normal</v>
      </c>
    </row>
    <row r="545" spans="1:26">
      <c r="A545" t="s">
        <v>1120</v>
      </c>
      <c r="B545">
        <v>52.4</v>
      </c>
      <c r="C545" t="s">
        <v>7</v>
      </c>
      <c r="D545">
        <v>5</v>
      </c>
      <c r="E545" t="s">
        <v>1121</v>
      </c>
      <c r="Z545" t="str">
        <f t="shared" si="8"/>
        <v>Normal</v>
      </c>
    </row>
    <row r="546" spans="1:26">
      <c r="A546" t="s">
        <v>1122</v>
      </c>
      <c r="B546">
        <v>44.81</v>
      </c>
      <c r="C546" t="s">
        <v>7</v>
      </c>
      <c r="D546">
        <v>4</v>
      </c>
      <c r="E546" t="s">
        <v>1123</v>
      </c>
      <c r="Z546" t="str">
        <f t="shared" si="8"/>
        <v>Normal</v>
      </c>
    </row>
    <row r="547" spans="1:26">
      <c r="A547" t="s">
        <v>1124</v>
      </c>
      <c r="B547">
        <v>57.84</v>
      </c>
      <c r="C547" t="s">
        <v>7</v>
      </c>
      <c r="D547">
        <v>5</v>
      </c>
      <c r="E547" t="s">
        <v>1125</v>
      </c>
      <c r="Z547" t="str">
        <f t="shared" si="8"/>
        <v>Normal</v>
      </c>
    </row>
    <row r="548" spans="1:26">
      <c r="A548" t="s">
        <v>1126</v>
      </c>
      <c r="B548">
        <v>39.67</v>
      </c>
      <c r="C548" t="s">
        <v>7</v>
      </c>
      <c r="D548">
        <v>2</v>
      </c>
      <c r="E548" t="s">
        <v>1127</v>
      </c>
      <c r="Z548" t="str">
        <f t="shared" si="8"/>
        <v>Normal</v>
      </c>
    </row>
    <row r="549" spans="1:26">
      <c r="A549" t="s">
        <v>1128</v>
      </c>
      <c r="B549">
        <v>55.02</v>
      </c>
      <c r="C549" t="s">
        <v>7</v>
      </c>
      <c r="D549">
        <v>3</v>
      </c>
      <c r="E549" t="s">
        <v>1129</v>
      </c>
      <c r="Z549" t="str">
        <f t="shared" si="8"/>
        <v>Normal</v>
      </c>
    </row>
    <row r="550" spans="1:26">
      <c r="A550" t="s">
        <v>1130</v>
      </c>
      <c r="B550">
        <v>24.8</v>
      </c>
      <c r="C550" t="s">
        <v>7</v>
      </c>
      <c r="D550">
        <v>4</v>
      </c>
      <c r="E550" t="s">
        <v>1131</v>
      </c>
      <c r="Z550" t="str">
        <f t="shared" si="8"/>
        <v>Normal</v>
      </c>
    </row>
    <row r="551" spans="1:26">
      <c r="A551" t="s">
        <v>1132</v>
      </c>
      <c r="B551">
        <v>59.45</v>
      </c>
      <c r="C551" t="s">
        <v>7</v>
      </c>
      <c r="D551">
        <v>4</v>
      </c>
      <c r="E551" t="s">
        <v>1133</v>
      </c>
      <c r="Z551" t="str">
        <f t="shared" si="8"/>
        <v>Normal</v>
      </c>
    </row>
    <row r="552" spans="1:26">
      <c r="A552" t="s">
        <v>1134</v>
      </c>
      <c r="B552">
        <v>31.58</v>
      </c>
      <c r="C552" t="s">
        <v>7</v>
      </c>
      <c r="D552">
        <v>2</v>
      </c>
      <c r="E552" t="s">
        <v>1135</v>
      </c>
      <c r="Z552" t="str">
        <f t="shared" si="8"/>
        <v>Normal</v>
      </c>
    </row>
    <row r="553" spans="1:26">
      <c r="A553" t="s">
        <v>1136</v>
      </c>
      <c r="B553">
        <v>43.27</v>
      </c>
      <c r="C553" t="s">
        <v>7</v>
      </c>
      <c r="D553">
        <v>4</v>
      </c>
      <c r="E553" t="s">
        <v>1137</v>
      </c>
      <c r="Z553" t="str">
        <f t="shared" si="8"/>
        <v>Normal</v>
      </c>
    </row>
    <row r="554" spans="1:26">
      <c r="A554" t="s">
        <v>1138</v>
      </c>
      <c r="B554">
        <v>37.340000000000003</v>
      </c>
      <c r="C554" t="s">
        <v>7</v>
      </c>
      <c r="D554">
        <v>1</v>
      </c>
      <c r="E554" t="s">
        <v>1139</v>
      </c>
      <c r="Z554" t="str">
        <f t="shared" si="8"/>
        <v>Normal</v>
      </c>
    </row>
    <row r="555" spans="1:26">
      <c r="A555" t="s">
        <v>1140</v>
      </c>
      <c r="B555">
        <v>17.8</v>
      </c>
      <c r="C555" t="s">
        <v>7</v>
      </c>
      <c r="D555">
        <v>5</v>
      </c>
      <c r="E555" t="s">
        <v>1141</v>
      </c>
      <c r="Z555" t="str">
        <f t="shared" si="8"/>
        <v>Normal</v>
      </c>
    </row>
    <row r="556" spans="1:26">
      <c r="A556" t="s">
        <v>1142</v>
      </c>
      <c r="B556">
        <v>30.54</v>
      </c>
      <c r="C556" t="s">
        <v>7</v>
      </c>
      <c r="D556">
        <v>1</v>
      </c>
      <c r="E556" t="s">
        <v>1143</v>
      </c>
      <c r="Z556" t="str">
        <f t="shared" si="8"/>
        <v>Normal</v>
      </c>
    </row>
    <row r="557" spans="1:26">
      <c r="A557" t="s">
        <v>1144</v>
      </c>
      <c r="B557">
        <v>18.77</v>
      </c>
      <c r="C557" t="s">
        <v>7</v>
      </c>
      <c r="D557">
        <v>1</v>
      </c>
      <c r="E557" t="s">
        <v>1145</v>
      </c>
      <c r="Z557" t="str">
        <f t="shared" si="8"/>
        <v>Normal</v>
      </c>
    </row>
    <row r="558" spans="1:26">
      <c r="A558" t="s">
        <v>1146</v>
      </c>
      <c r="B558">
        <v>46.85</v>
      </c>
      <c r="C558" t="s">
        <v>7</v>
      </c>
      <c r="D558">
        <v>3</v>
      </c>
      <c r="E558" t="s">
        <v>1147</v>
      </c>
      <c r="Z558" t="str">
        <f t="shared" si="8"/>
        <v>Normal</v>
      </c>
    </row>
    <row r="559" spans="1:26">
      <c r="A559" t="s">
        <v>1148</v>
      </c>
      <c r="B559">
        <v>15.79</v>
      </c>
      <c r="C559" t="s">
        <v>7</v>
      </c>
      <c r="D559">
        <v>1</v>
      </c>
      <c r="E559" t="s">
        <v>1149</v>
      </c>
      <c r="Z559" t="str">
        <f t="shared" si="8"/>
        <v>Normal</v>
      </c>
    </row>
    <row r="560" spans="1:26">
      <c r="A560" t="s">
        <v>1150</v>
      </c>
      <c r="B560">
        <v>10.27</v>
      </c>
      <c r="C560" t="s">
        <v>7</v>
      </c>
      <c r="D560">
        <v>2</v>
      </c>
      <c r="E560" t="s">
        <v>1151</v>
      </c>
      <c r="Z560" t="str">
        <f t="shared" si="8"/>
        <v>Normal</v>
      </c>
    </row>
    <row r="561" spans="1:26">
      <c r="A561" t="s">
        <v>1152</v>
      </c>
      <c r="B561">
        <v>15.42</v>
      </c>
      <c r="C561" t="s">
        <v>7</v>
      </c>
      <c r="D561">
        <v>5</v>
      </c>
      <c r="E561" t="s">
        <v>1153</v>
      </c>
      <c r="Z561" t="str">
        <f t="shared" si="8"/>
        <v>Normal</v>
      </c>
    </row>
    <row r="562" spans="1:26">
      <c r="A562" t="s">
        <v>1154</v>
      </c>
      <c r="B562">
        <v>59.92</v>
      </c>
      <c r="C562" t="s">
        <v>7</v>
      </c>
      <c r="D562">
        <v>5</v>
      </c>
      <c r="E562" t="s">
        <v>1155</v>
      </c>
      <c r="Z562" t="str">
        <f t="shared" si="8"/>
        <v>Normal</v>
      </c>
    </row>
    <row r="563" spans="1:26">
      <c r="A563" t="s">
        <v>1156</v>
      </c>
      <c r="B563">
        <v>50.96</v>
      </c>
      <c r="C563" t="s">
        <v>7</v>
      </c>
      <c r="D563">
        <v>2</v>
      </c>
      <c r="E563" t="s">
        <v>1157</v>
      </c>
      <c r="Z563" t="str">
        <f t="shared" si="8"/>
        <v>Normal</v>
      </c>
    </row>
    <row r="564" spans="1:26">
      <c r="A564" t="s">
        <v>1158</v>
      </c>
      <c r="B564">
        <v>30.6</v>
      </c>
      <c r="C564" t="s">
        <v>7</v>
      </c>
      <c r="D564">
        <v>3</v>
      </c>
      <c r="E564" t="s">
        <v>1159</v>
      </c>
      <c r="Z564" t="str">
        <f t="shared" si="8"/>
        <v>Normal</v>
      </c>
    </row>
    <row r="565" spans="1:26">
      <c r="A565" t="s">
        <v>1160</v>
      </c>
      <c r="B565">
        <v>19.27</v>
      </c>
      <c r="C565" t="s">
        <v>7</v>
      </c>
      <c r="D565">
        <v>4</v>
      </c>
      <c r="E565" t="s">
        <v>1161</v>
      </c>
      <c r="Z565" t="str">
        <f t="shared" si="8"/>
        <v>Normal</v>
      </c>
    </row>
    <row r="566" spans="1:26">
      <c r="A566" t="s">
        <v>1162</v>
      </c>
      <c r="B566">
        <v>46.58</v>
      </c>
      <c r="C566" t="s">
        <v>7</v>
      </c>
      <c r="D566">
        <v>1</v>
      </c>
      <c r="E566" t="s">
        <v>1163</v>
      </c>
      <c r="Z566" t="str">
        <f t="shared" si="8"/>
        <v>Normal</v>
      </c>
    </row>
    <row r="567" spans="1:26">
      <c r="A567" t="s">
        <v>1164</v>
      </c>
      <c r="B567">
        <v>48.51</v>
      </c>
      <c r="C567" t="s">
        <v>7</v>
      </c>
      <c r="D567">
        <v>3</v>
      </c>
      <c r="E567" t="s">
        <v>1165</v>
      </c>
      <c r="Z567" t="str">
        <f t="shared" si="8"/>
        <v>Normal</v>
      </c>
    </row>
    <row r="568" spans="1:26">
      <c r="A568" t="s">
        <v>1166</v>
      </c>
      <c r="B568">
        <v>19.02</v>
      </c>
      <c r="C568" t="s">
        <v>7</v>
      </c>
      <c r="D568">
        <v>1</v>
      </c>
      <c r="E568" t="s">
        <v>1167</v>
      </c>
      <c r="Z568" t="str">
        <f t="shared" si="8"/>
        <v>Normal</v>
      </c>
    </row>
    <row r="569" spans="1:26">
      <c r="A569" t="s">
        <v>1168</v>
      </c>
      <c r="B569">
        <v>38.380000000000003</v>
      </c>
      <c r="C569" t="s">
        <v>7</v>
      </c>
      <c r="D569">
        <v>2</v>
      </c>
      <c r="E569" t="s">
        <v>1169</v>
      </c>
      <c r="Z569" t="str">
        <f t="shared" si="8"/>
        <v>Normal</v>
      </c>
    </row>
    <row r="570" spans="1:26">
      <c r="A570" t="s">
        <v>1170</v>
      </c>
      <c r="B570">
        <v>49.98</v>
      </c>
      <c r="C570" t="s">
        <v>7</v>
      </c>
      <c r="D570">
        <v>4</v>
      </c>
      <c r="E570" t="s">
        <v>1171</v>
      </c>
      <c r="Z570" t="str">
        <f t="shared" si="8"/>
        <v>Normal</v>
      </c>
    </row>
    <row r="571" spans="1:26">
      <c r="A571" t="s">
        <v>1172</v>
      </c>
      <c r="B571">
        <v>46.49</v>
      </c>
      <c r="C571" t="s">
        <v>7</v>
      </c>
      <c r="D571">
        <v>5</v>
      </c>
      <c r="E571" t="s">
        <v>1173</v>
      </c>
      <c r="Z571" t="str">
        <f t="shared" si="8"/>
        <v>Normal</v>
      </c>
    </row>
    <row r="572" spans="1:26">
      <c r="A572" t="s">
        <v>1174</v>
      </c>
      <c r="B572">
        <v>18.32</v>
      </c>
      <c r="C572" t="s">
        <v>7</v>
      </c>
      <c r="D572">
        <v>2</v>
      </c>
      <c r="E572" t="s">
        <v>1175</v>
      </c>
      <c r="Z572" t="str">
        <f t="shared" si="8"/>
        <v>Normal</v>
      </c>
    </row>
    <row r="573" spans="1:26">
      <c r="A573" t="s">
        <v>1176</v>
      </c>
      <c r="B573">
        <v>42.14</v>
      </c>
      <c r="C573" t="s">
        <v>7</v>
      </c>
      <c r="D573">
        <v>3</v>
      </c>
      <c r="E573" t="s">
        <v>1177</v>
      </c>
      <c r="Z573" t="str">
        <f t="shared" si="8"/>
        <v>Normal</v>
      </c>
    </row>
    <row r="574" spans="1:26">
      <c r="A574" t="s">
        <v>1178</v>
      </c>
      <c r="B574">
        <v>56.59</v>
      </c>
      <c r="C574" t="s">
        <v>7</v>
      </c>
      <c r="D574">
        <v>4</v>
      </c>
      <c r="E574" t="s">
        <v>1179</v>
      </c>
      <c r="Z574" t="str">
        <f t="shared" si="8"/>
        <v>Normal</v>
      </c>
    </row>
    <row r="575" spans="1:26">
      <c r="A575" t="s">
        <v>1180</v>
      </c>
      <c r="B575">
        <v>20.96</v>
      </c>
      <c r="C575" t="s">
        <v>7</v>
      </c>
      <c r="D575">
        <v>4</v>
      </c>
      <c r="E575" t="s">
        <v>1181</v>
      </c>
      <c r="Z575" t="str">
        <f t="shared" si="8"/>
        <v>Normal</v>
      </c>
    </row>
    <row r="576" spans="1:26">
      <c r="A576" t="s">
        <v>1182</v>
      </c>
      <c r="B576">
        <v>40.32</v>
      </c>
      <c r="C576" t="s">
        <v>7</v>
      </c>
      <c r="D576">
        <v>4</v>
      </c>
      <c r="E576" t="s">
        <v>1183</v>
      </c>
      <c r="Z576" t="str">
        <f t="shared" si="8"/>
        <v>Normal</v>
      </c>
    </row>
    <row r="577" spans="1:26">
      <c r="A577" t="s">
        <v>1184</v>
      </c>
      <c r="B577">
        <v>36.39</v>
      </c>
      <c r="C577" t="s">
        <v>7</v>
      </c>
      <c r="D577">
        <v>3</v>
      </c>
      <c r="E577" t="s">
        <v>1185</v>
      </c>
      <c r="Z577" t="str">
        <f t="shared" si="8"/>
        <v>Normal</v>
      </c>
    </row>
    <row r="578" spans="1:26">
      <c r="A578" t="s">
        <v>1186</v>
      </c>
      <c r="B578">
        <v>58.55</v>
      </c>
      <c r="C578" t="s">
        <v>7</v>
      </c>
      <c r="D578">
        <v>4</v>
      </c>
      <c r="E578" t="s">
        <v>1187</v>
      </c>
      <c r="Z578" t="str">
        <f t="shared" si="8"/>
        <v>Normal</v>
      </c>
    </row>
    <row r="579" spans="1:26">
      <c r="A579" t="s">
        <v>1188</v>
      </c>
      <c r="B579">
        <v>39.61</v>
      </c>
      <c r="C579" t="s">
        <v>7</v>
      </c>
      <c r="D579">
        <v>3</v>
      </c>
      <c r="E579" t="s">
        <v>1189</v>
      </c>
      <c r="Z579" t="str">
        <f t="shared" si="8"/>
        <v>Normal</v>
      </c>
    </row>
    <row r="580" spans="1:26">
      <c r="A580" t="s">
        <v>1190</v>
      </c>
      <c r="B580">
        <v>21.3</v>
      </c>
      <c r="C580" t="s">
        <v>7</v>
      </c>
      <c r="D580">
        <v>3</v>
      </c>
      <c r="E580" t="s">
        <v>1191</v>
      </c>
      <c r="Z580" t="str">
        <f t="shared" si="8"/>
        <v>Normal</v>
      </c>
    </row>
    <row r="581" spans="1:26">
      <c r="A581" t="s">
        <v>1192</v>
      </c>
      <c r="B581">
        <v>56.88</v>
      </c>
      <c r="C581" t="s">
        <v>7</v>
      </c>
      <c r="D581">
        <v>4</v>
      </c>
      <c r="E581" t="s">
        <v>1193</v>
      </c>
      <c r="Z581" t="str">
        <f t="shared" si="8"/>
        <v>Normal</v>
      </c>
    </row>
    <row r="582" spans="1:26">
      <c r="A582" t="s">
        <v>1194</v>
      </c>
      <c r="B582">
        <v>32.97</v>
      </c>
      <c r="C582" t="s">
        <v>7</v>
      </c>
      <c r="D582">
        <v>4</v>
      </c>
      <c r="E582" t="s">
        <v>1195</v>
      </c>
      <c r="Z582" t="str">
        <f t="shared" si="8"/>
        <v>Normal</v>
      </c>
    </row>
    <row r="583" spans="1:26">
      <c r="A583" t="s">
        <v>1196</v>
      </c>
      <c r="B583">
        <v>47.31</v>
      </c>
      <c r="C583" t="s">
        <v>7</v>
      </c>
      <c r="D583">
        <v>4</v>
      </c>
      <c r="E583" t="s">
        <v>1197</v>
      </c>
      <c r="Z583" t="str">
        <f t="shared" si="8"/>
        <v>Normal</v>
      </c>
    </row>
    <row r="584" spans="1:26">
      <c r="A584" t="s">
        <v>1198</v>
      </c>
      <c r="B584">
        <v>48.67</v>
      </c>
      <c r="C584" t="s">
        <v>7</v>
      </c>
      <c r="D584">
        <v>2</v>
      </c>
      <c r="E584" t="s">
        <v>1199</v>
      </c>
      <c r="Z584" t="str">
        <f t="shared" ref="Z584:Z647" si="9">IF(OR(B584&lt;$U$13, B584&gt;$U$14),"Outlier","Normal")</f>
        <v>Normal</v>
      </c>
    </row>
    <row r="585" spans="1:26">
      <c r="A585" t="s">
        <v>1200</v>
      </c>
      <c r="B585">
        <v>41.73</v>
      </c>
      <c r="C585" t="s">
        <v>7</v>
      </c>
      <c r="D585">
        <v>4</v>
      </c>
      <c r="E585" t="s">
        <v>1201</v>
      </c>
      <c r="Z585" t="str">
        <f t="shared" si="9"/>
        <v>Normal</v>
      </c>
    </row>
    <row r="586" spans="1:26">
      <c r="A586" t="s">
        <v>1202</v>
      </c>
      <c r="B586">
        <v>53.68</v>
      </c>
      <c r="C586" t="s">
        <v>7</v>
      </c>
      <c r="D586">
        <v>4</v>
      </c>
      <c r="E586" t="s">
        <v>1203</v>
      </c>
      <c r="Z586" t="str">
        <f t="shared" si="9"/>
        <v>Normal</v>
      </c>
    </row>
    <row r="587" spans="1:26">
      <c r="A587" t="s">
        <v>1204</v>
      </c>
      <c r="B587">
        <v>14.64</v>
      </c>
      <c r="C587" t="s">
        <v>7</v>
      </c>
      <c r="D587">
        <v>1</v>
      </c>
      <c r="E587" t="s">
        <v>1205</v>
      </c>
      <c r="Z587" t="str">
        <f t="shared" si="9"/>
        <v>Normal</v>
      </c>
    </row>
    <row r="588" spans="1:26">
      <c r="A588" t="s">
        <v>1206</v>
      </c>
      <c r="B588">
        <v>38.4</v>
      </c>
      <c r="C588" t="s">
        <v>7</v>
      </c>
      <c r="D588">
        <v>1</v>
      </c>
      <c r="E588" t="s">
        <v>1207</v>
      </c>
      <c r="Z588" t="str">
        <f t="shared" si="9"/>
        <v>Normal</v>
      </c>
    </row>
    <row r="589" spans="1:26">
      <c r="A589" t="s">
        <v>1208</v>
      </c>
      <c r="B589">
        <v>15.08</v>
      </c>
      <c r="C589" t="s">
        <v>7</v>
      </c>
      <c r="D589">
        <v>4</v>
      </c>
      <c r="E589" t="s">
        <v>1209</v>
      </c>
      <c r="Z589" t="str">
        <f t="shared" si="9"/>
        <v>Normal</v>
      </c>
    </row>
    <row r="590" spans="1:26">
      <c r="A590" t="s">
        <v>1210</v>
      </c>
      <c r="B590">
        <v>30.57</v>
      </c>
      <c r="C590" t="s">
        <v>7</v>
      </c>
      <c r="D590">
        <v>2</v>
      </c>
      <c r="E590" t="s">
        <v>1211</v>
      </c>
      <c r="Z590" t="str">
        <f t="shared" si="9"/>
        <v>Normal</v>
      </c>
    </row>
    <row r="591" spans="1:26">
      <c r="A591" t="s">
        <v>1212</v>
      </c>
      <c r="B591">
        <v>57.74</v>
      </c>
      <c r="C591" t="s">
        <v>7</v>
      </c>
      <c r="D591">
        <v>4</v>
      </c>
      <c r="E591" t="s">
        <v>1213</v>
      </c>
      <c r="Z591" t="str">
        <f t="shared" si="9"/>
        <v>Normal</v>
      </c>
    </row>
    <row r="592" spans="1:26">
      <c r="A592" t="s">
        <v>1214</v>
      </c>
      <c r="B592">
        <v>11.05</v>
      </c>
      <c r="C592" t="s">
        <v>7</v>
      </c>
      <c r="D592">
        <v>5</v>
      </c>
      <c r="E592" t="s">
        <v>1215</v>
      </c>
      <c r="Z592" t="str">
        <f t="shared" si="9"/>
        <v>Normal</v>
      </c>
    </row>
    <row r="593" spans="1:26">
      <c r="A593" t="s">
        <v>1216</v>
      </c>
      <c r="B593">
        <v>28.58</v>
      </c>
      <c r="C593" t="s">
        <v>7</v>
      </c>
      <c r="D593">
        <v>1</v>
      </c>
      <c r="E593" t="s">
        <v>1217</v>
      </c>
      <c r="Z593" t="str">
        <f t="shared" si="9"/>
        <v>Normal</v>
      </c>
    </row>
    <row r="594" spans="1:26">
      <c r="A594" t="s">
        <v>1218</v>
      </c>
      <c r="B594">
        <v>42.91</v>
      </c>
      <c r="C594" t="s">
        <v>7</v>
      </c>
      <c r="D594">
        <v>5</v>
      </c>
      <c r="E594" t="s">
        <v>1219</v>
      </c>
      <c r="Z594" t="str">
        <f t="shared" si="9"/>
        <v>Normal</v>
      </c>
    </row>
    <row r="595" spans="1:26">
      <c r="A595" t="s">
        <v>1220</v>
      </c>
      <c r="B595">
        <v>24.73</v>
      </c>
      <c r="C595" t="s">
        <v>7</v>
      </c>
      <c r="D595">
        <v>3</v>
      </c>
      <c r="E595" t="s">
        <v>1221</v>
      </c>
      <c r="Z595" t="str">
        <f t="shared" si="9"/>
        <v>Normal</v>
      </c>
    </row>
    <row r="596" spans="1:26">
      <c r="A596" t="s">
        <v>1222</v>
      </c>
      <c r="B596">
        <v>55.91</v>
      </c>
      <c r="C596" t="s">
        <v>7</v>
      </c>
      <c r="D596">
        <v>4</v>
      </c>
      <c r="E596" t="s">
        <v>1223</v>
      </c>
      <c r="Z596" t="str">
        <f t="shared" si="9"/>
        <v>Normal</v>
      </c>
    </row>
    <row r="597" spans="1:26">
      <c r="A597" t="s">
        <v>1224</v>
      </c>
      <c r="B597">
        <v>13.76</v>
      </c>
      <c r="C597" t="s">
        <v>7</v>
      </c>
      <c r="D597">
        <v>3</v>
      </c>
      <c r="E597" t="s">
        <v>1225</v>
      </c>
      <c r="Z597" t="str">
        <f t="shared" si="9"/>
        <v>Normal</v>
      </c>
    </row>
    <row r="598" spans="1:26">
      <c r="A598" t="s">
        <v>1226</v>
      </c>
      <c r="B598">
        <v>45.56</v>
      </c>
      <c r="C598" t="s">
        <v>7</v>
      </c>
      <c r="D598">
        <v>3</v>
      </c>
      <c r="E598" t="s">
        <v>1227</v>
      </c>
      <c r="Z598" t="str">
        <f t="shared" si="9"/>
        <v>Normal</v>
      </c>
    </row>
    <row r="599" spans="1:26">
      <c r="A599" t="s">
        <v>1228</v>
      </c>
      <c r="B599">
        <v>47.22</v>
      </c>
      <c r="C599" t="s">
        <v>7</v>
      </c>
      <c r="D599">
        <v>1</v>
      </c>
      <c r="E599" t="s">
        <v>1229</v>
      </c>
      <c r="Z599" t="str">
        <f t="shared" si="9"/>
        <v>Normal</v>
      </c>
    </row>
    <row r="600" spans="1:26">
      <c r="A600" t="s">
        <v>1230</v>
      </c>
      <c r="B600">
        <v>56</v>
      </c>
      <c r="C600" t="s">
        <v>7</v>
      </c>
      <c r="D600">
        <v>5</v>
      </c>
      <c r="E600" t="s">
        <v>1231</v>
      </c>
      <c r="Z600" t="str">
        <f t="shared" si="9"/>
        <v>Normal</v>
      </c>
    </row>
    <row r="601" spans="1:26">
      <c r="A601" t="s">
        <v>1232</v>
      </c>
      <c r="B601">
        <v>44.58</v>
      </c>
      <c r="C601" t="s">
        <v>7</v>
      </c>
      <c r="D601">
        <v>2</v>
      </c>
      <c r="E601" t="s">
        <v>1233</v>
      </c>
      <c r="Z601" t="str">
        <f t="shared" si="9"/>
        <v>Normal</v>
      </c>
    </row>
    <row r="602" spans="1:26">
      <c r="A602" t="s">
        <v>1234</v>
      </c>
      <c r="B602">
        <v>34.5</v>
      </c>
      <c r="C602" t="s">
        <v>7</v>
      </c>
      <c r="D602">
        <v>1</v>
      </c>
      <c r="E602" t="s">
        <v>1235</v>
      </c>
      <c r="Z602" t="str">
        <f t="shared" si="9"/>
        <v>Normal</v>
      </c>
    </row>
    <row r="603" spans="1:26">
      <c r="A603" t="s">
        <v>1236</v>
      </c>
      <c r="B603">
        <v>11.33</v>
      </c>
      <c r="C603" t="s">
        <v>7</v>
      </c>
      <c r="D603">
        <v>5</v>
      </c>
      <c r="E603" t="s">
        <v>1237</v>
      </c>
      <c r="Z603" t="str">
        <f t="shared" si="9"/>
        <v>Normal</v>
      </c>
    </row>
    <row r="604" spans="1:26">
      <c r="A604" t="s">
        <v>1238</v>
      </c>
      <c r="B604">
        <v>38.770000000000003</v>
      </c>
      <c r="C604" t="s">
        <v>7</v>
      </c>
      <c r="D604">
        <v>4</v>
      </c>
      <c r="E604" t="s">
        <v>1239</v>
      </c>
      <c r="Z604" t="str">
        <f t="shared" si="9"/>
        <v>Normal</v>
      </c>
    </row>
    <row r="605" spans="1:26">
      <c r="A605" t="s">
        <v>1240</v>
      </c>
      <c r="B605">
        <v>11.83</v>
      </c>
      <c r="C605" t="s">
        <v>7</v>
      </c>
      <c r="D605">
        <v>2</v>
      </c>
      <c r="E605" t="s">
        <v>1241</v>
      </c>
      <c r="Z605" t="str">
        <f t="shared" si="9"/>
        <v>Normal</v>
      </c>
    </row>
    <row r="606" spans="1:26">
      <c r="A606" t="s">
        <v>1242</v>
      </c>
      <c r="B606">
        <v>45.51</v>
      </c>
      <c r="C606" t="s">
        <v>7</v>
      </c>
      <c r="D606">
        <v>3</v>
      </c>
      <c r="E606" t="s">
        <v>1243</v>
      </c>
      <c r="Z606" t="str">
        <f t="shared" si="9"/>
        <v>Normal</v>
      </c>
    </row>
    <row r="607" spans="1:26">
      <c r="A607" t="s">
        <v>1244</v>
      </c>
      <c r="B607">
        <v>41.81</v>
      </c>
      <c r="C607" t="s">
        <v>7</v>
      </c>
      <c r="D607">
        <v>1</v>
      </c>
      <c r="E607" t="s">
        <v>1245</v>
      </c>
      <c r="Z607" t="str">
        <f t="shared" si="9"/>
        <v>Normal</v>
      </c>
    </row>
    <row r="608" spans="1:26">
      <c r="A608" t="s">
        <v>1246</v>
      </c>
      <c r="B608">
        <v>25.15</v>
      </c>
      <c r="C608" t="s">
        <v>7</v>
      </c>
      <c r="D608">
        <v>4</v>
      </c>
      <c r="E608" t="s">
        <v>1247</v>
      </c>
      <c r="Z608" t="str">
        <f t="shared" si="9"/>
        <v>Normal</v>
      </c>
    </row>
    <row r="609" spans="1:26">
      <c r="A609" t="s">
        <v>1248</v>
      </c>
      <c r="B609">
        <v>34.22</v>
      </c>
      <c r="C609" t="s">
        <v>7</v>
      </c>
      <c r="D609">
        <v>5</v>
      </c>
      <c r="E609" t="s">
        <v>1249</v>
      </c>
      <c r="Z609" t="str">
        <f t="shared" si="9"/>
        <v>Normal</v>
      </c>
    </row>
    <row r="610" spans="1:26">
      <c r="A610" t="s">
        <v>1250</v>
      </c>
      <c r="B610">
        <v>16.23</v>
      </c>
      <c r="C610" t="s">
        <v>7</v>
      </c>
      <c r="D610">
        <v>5</v>
      </c>
      <c r="E610" t="s">
        <v>1251</v>
      </c>
      <c r="Z610" t="str">
        <f t="shared" si="9"/>
        <v>Normal</v>
      </c>
    </row>
    <row r="611" spans="1:26">
      <c r="A611" t="s">
        <v>1252</v>
      </c>
      <c r="B611">
        <v>11.48</v>
      </c>
      <c r="C611" t="s">
        <v>7</v>
      </c>
      <c r="D611">
        <v>3</v>
      </c>
      <c r="E611" t="s">
        <v>1253</v>
      </c>
      <c r="Z611" t="str">
        <f t="shared" si="9"/>
        <v>Normal</v>
      </c>
    </row>
    <row r="612" spans="1:26">
      <c r="A612" t="s">
        <v>1254</v>
      </c>
      <c r="B612">
        <v>23.37</v>
      </c>
      <c r="C612" t="s">
        <v>7</v>
      </c>
      <c r="D612">
        <v>3</v>
      </c>
      <c r="E612" t="s">
        <v>1255</v>
      </c>
      <c r="Z612" t="str">
        <f t="shared" si="9"/>
        <v>Normal</v>
      </c>
    </row>
    <row r="613" spans="1:26">
      <c r="A613" t="s">
        <v>1256</v>
      </c>
      <c r="B613">
        <v>16.28</v>
      </c>
      <c r="C613" t="s">
        <v>7</v>
      </c>
      <c r="D613">
        <v>2</v>
      </c>
      <c r="E613" t="s">
        <v>1257</v>
      </c>
      <c r="Z613" t="str">
        <f t="shared" si="9"/>
        <v>Normal</v>
      </c>
    </row>
    <row r="614" spans="1:26">
      <c r="A614" t="s">
        <v>1258</v>
      </c>
      <c r="B614">
        <v>31.63</v>
      </c>
      <c r="C614" t="s">
        <v>7</v>
      </c>
      <c r="D614">
        <v>4</v>
      </c>
      <c r="E614" t="s">
        <v>1259</v>
      </c>
      <c r="Z614" t="str">
        <f t="shared" si="9"/>
        <v>Normal</v>
      </c>
    </row>
    <row r="615" spans="1:26">
      <c r="A615" t="s">
        <v>1260</v>
      </c>
      <c r="B615">
        <v>24.91</v>
      </c>
      <c r="C615" t="s">
        <v>7</v>
      </c>
      <c r="D615">
        <v>5</v>
      </c>
      <c r="E615" t="s">
        <v>1261</v>
      </c>
      <c r="Z615" t="str">
        <f t="shared" si="9"/>
        <v>Normal</v>
      </c>
    </row>
    <row r="616" spans="1:26">
      <c r="A616" t="s">
        <v>1262</v>
      </c>
      <c r="B616">
        <v>22.54</v>
      </c>
      <c r="C616" t="s">
        <v>7</v>
      </c>
      <c r="D616">
        <v>1</v>
      </c>
      <c r="E616" t="s">
        <v>1263</v>
      </c>
      <c r="Z616" t="str">
        <f t="shared" si="9"/>
        <v>Normal</v>
      </c>
    </row>
    <row r="617" spans="1:26">
      <c r="A617" t="s">
        <v>1264</v>
      </c>
      <c r="B617">
        <v>23.63</v>
      </c>
      <c r="C617" t="s">
        <v>7</v>
      </c>
      <c r="D617">
        <v>4</v>
      </c>
      <c r="E617" t="s">
        <v>1265</v>
      </c>
      <c r="Z617" t="str">
        <f t="shared" si="9"/>
        <v>Normal</v>
      </c>
    </row>
    <row r="618" spans="1:26">
      <c r="A618" t="s">
        <v>1266</v>
      </c>
      <c r="B618">
        <v>13.12</v>
      </c>
      <c r="C618" t="s">
        <v>7</v>
      </c>
      <c r="D618">
        <v>2</v>
      </c>
      <c r="E618" t="s">
        <v>1267</v>
      </c>
      <c r="Z618" t="str">
        <f t="shared" si="9"/>
        <v>Normal</v>
      </c>
    </row>
    <row r="619" spans="1:26">
      <c r="A619" t="s">
        <v>1268</v>
      </c>
      <c r="B619">
        <v>59.98</v>
      </c>
      <c r="C619" t="s">
        <v>7</v>
      </c>
      <c r="D619">
        <v>3</v>
      </c>
      <c r="E619" t="s">
        <v>1269</v>
      </c>
      <c r="Z619" t="str">
        <f t="shared" si="9"/>
        <v>Normal</v>
      </c>
    </row>
    <row r="620" spans="1:26">
      <c r="A620" t="s">
        <v>1270</v>
      </c>
      <c r="B620">
        <v>31.49</v>
      </c>
      <c r="C620" t="s">
        <v>7</v>
      </c>
      <c r="D620">
        <v>4</v>
      </c>
      <c r="E620" t="s">
        <v>1271</v>
      </c>
      <c r="Z620" t="str">
        <f t="shared" si="9"/>
        <v>Normal</v>
      </c>
    </row>
    <row r="621" spans="1:26">
      <c r="A621" t="s">
        <v>1272</v>
      </c>
      <c r="B621">
        <v>15.52</v>
      </c>
      <c r="C621" t="s">
        <v>7</v>
      </c>
      <c r="D621">
        <v>5</v>
      </c>
      <c r="E621" t="s">
        <v>1273</v>
      </c>
      <c r="Z621" t="str">
        <f t="shared" si="9"/>
        <v>Normal</v>
      </c>
    </row>
    <row r="622" spans="1:26">
      <c r="A622" t="s">
        <v>1274</v>
      </c>
      <c r="B622">
        <v>48.13</v>
      </c>
      <c r="C622" t="s">
        <v>7</v>
      </c>
      <c r="D622">
        <v>5</v>
      </c>
      <c r="E622" t="s">
        <v>1275</v>
      </c>
      <c r="Z622" t="str">
        <f t="shared" si="9"/>
        <v>Normal</v>
      </c>
    </row>
    <row r="623" spans="1:26">
      <c r="A623" t="s">
        <v>1276</v>
      </c>
      <c r="B623">
        <v>38.130000000000003</v>
      </c>
      <c r="C623" t="s">
        <v>7</v>
      </c>
      <c r="D623">
        <v>5</v>
      </c>
      <c r="E623" t="s">
        <v>1277</v>
      </c>
      <c r="Z623" t="str">
        <f t="shared" si="9"/>
        <v>Normal</v>
      </c>
    </row>
    <row r="624" spans="1:26">
      <c r="A624" t="s">
        <v>1278</v>
      </c>
      <c r="B624">
        <v>36.549999999999997</v>
      </c>
      <c r="C624" t="s">
        <v>7</v>
      </c>
      <c r="D624">
        <v>2</v>
      </c>
      <c r="E624" t="s">
        <v>1279</v>
      </c>
      <c r="Z624" t="str">
        <f t="shared" si="9"/>
        <v>Normal</v>
      </c>
    </row>
    <row r="625" spans="1:26">
      <c r="A625" t="s">
        <v>1280</v>
      </c>
      <c r="B625">
        <v>23.32</v>
      </c>
      <c r="C625" t="s">
        <v>7</v>
      </c>
      <c r="D625">
        <v>1</v>
      </c>
      <c r="E625" t="s">
        <v>1281</v>
      </c>
      <c r="Z625" t="str">
        <f t="shared" si="9"/>
        <v>Normal</v>
      </c>
    </row>
    <row r="626" spans="1:26">
      <c r="A626" t="s">
        <v>1282</v>
      </c>
      <c r="B626">
        <v>16.329999999999998</v>
      </c>
      <c r="C626" t="s">
        <v>7</v>
      </c>
      <c r="D626">
        <v>1</v>
      </c>
      <c r="E626" t="s">
        <v>1283</v>
      </c>
      <c r="Z626" t="str">
        <f t="shared" si="9"/>
        <v>Normal</v>
      </c>
    </row>
    <row r="627" spans="1:26">
      <c r="A627" t="s">
        <v>1284</v>
      </c>
      <c r="B627">
        <v>32.42</v>
      </c>
      <c r="C627" t="s">
        <v>7</v>
      </c>
      <c r="D627">
        <v>1</v>
      </c>
      <c r="E627" t="s">
        <v>1285</v>
      </c>
      <c r="Z627" t="str">
        <f t="shared" si="9"/>
        <v>Normal</v>
      </c>
    </row>
    <row r="628" spans="1:26">
      <c r="A628" t="s">
        <v>1286</v>
      </c>
      <c r="B628">
        <v>16.96</v>
      </c>
      <c r="C628" t="s">
        <v>7</v>
      </c>
      <c r="D628">
        <v>1</v>
      </c>
      <c r="E628" t="s">
        <v>1287</v>
      </c>
      <c r="Z628" t="str">
        <f t="shared" si="9"/>
        <v>Normal</v>
      </c>
    </row>
    <row r="629" spans="1:26">
      <c r="A629" t="s">
        <v>1288</v>
      </c>
      <c r="B629">
        <v>22.37</v>
      </c>
      <c r="C629" t="s">
        <v>7</v>
      </c>
      <c r="D629">
        <v>1</v>
      </c>
      <c r="E629" t="s">
        <v>1289</v>
      </c>
      <c r="Z629" t="str">
        <f t="shared" si="9"/>
        <v>Normal</v>
      </c>
    </row>
    <row r="630" spans="1:26">
      <c r="A630" t="s">
        <v>1290</v>
      </c>
      <c r="B630">
        <v>42.27</v>
      </c>
      <c r="C630" t="s">
        <v>7</v>
      </c>
      <c r="D630">
        <v>1</v>
      </c>
      <c r="E630" t="s">
        <v>1291</v>
      </c>
      <c r="Z630" t="str">
        <f t="shared" si="9"/>
        <v>Normal</v>
      </c>
    </row>
    <row r="631" spans="1:26">
      <c r="A631" t="s">
        <v>1292</v>
      </c>
      <c r="B631">
        <v>38.700000000000003</v>
      </c>
      <c r="C631" t="s">
        <v>7</v>
      </c>
      <c r="D631">
        <v>2</v>
      </c>
      <c r="E631" t="s">
        <v>1293</v>
      </c>
      <c r="Z631" t="str">
        <f t="shared" si="9"/>
        <v>Normal</v>
      </c>
    </row>
    <row r="632" spans="1:26">
      <c r="A632" t="s">
        <v>1294</v>
      </c>
      <c r="B632">
        <v>35.630000000000003</v>
      </c>
      <c r="C632" t="s">
        <v>7</v>
      </c>
      <c r="D632">
        <v>5</v>
      </c>
      <c r="E632" t="s">
        <v>1295</v>
      </c>
      <c r="Z632" t="str">
        <f t="shared" si="9"/>
        <v>Normal</v>
      </c>
    </row>
    <row r="633" spans="1:26">
      <c r="A633" t="s">
        <v>1296</v>
      </c>
      <c r="B633">
        <v>58</v>
      </c>
      <c r="C633" t="s">
        <v>7</v>
      </c>
      <c r="D633">
        <v>5</v>
      </c>
      <c r="E633" t="s">
        <v>1297</v>
      </c>
      <c r="Z633" t="str">
        <f t="shared" si="9"/>
        <v>Normal</v>
      </c>
    </row>
    <row r="634" spans="1:26">
      <c r="A634" t="s">
        <v>1298</v>
      </c>
      <c r="B634">
        <v>52.41</v>
      </c>
      <c r="C634" t="s">
        <v>7</v>
      </c>
      <c r="D634">
        <v>1</v>
      </c>
      <c r="E634" t="s">
        <v>1299</v>
      </c>
      <c r="Z634" t="str">
        <f t="shared" si="9"/>
        <v>Normal</v>
      </c>
    </row>
    <row r="635" spans="1:26">
      <c r="A635" t="s">
        <v>1300</v>
      </c>
      <c r="B635">
        <v>32.35</v>
      </c>
      <c r="C635" t="s">
        <v>7</v>
      </c>
      <c r="D635">
        <v>3</v>
      </c>
      <c r="E635" t="s">
        <v>1301</v>
      </c>
      <c r="Z635" t="str">
        <f t="shared" si="9"/>
        <v>Normal</v>
      </c>
    </row>
    <row r="636" spans="1:26">
      <c r="A636" t="s">
        <v>1302</v>
      </c>
      <c r="B636">
        <v>20.75</v>
      </c>
      <c r="C636" t="s">
        <v>7</v>
      </c>
      <c r="D636">
        <v>1</v>
      </c>
      <c r="E636" t="s">
        <v>1303</v>
      </c>
      <c r="Z636" t="str">
        <f t="shared" si="9"/>
        <v>Normal</v>
      </c>
    </row>
    <row r="637" spans="1:26">
      <c r="A637" t="s">
        <v>1304</v>
      </c>
      <c r="B637">
        <v>17.489999999999998</v>
      </c>
      <c r="C637" t="s">
        <v>7</v>
      </c>
      <c r="D637">
        <v>5</v>
      </c>
      <c r="E637" t="s">
        <v>1305</v>
      </c>
      <c r="Z637" t="str">
        <f t="shared" si="9"/>
        <v>Normal</v>
      </c>
    </row>
    <row r="638" spans="1:26">
      <c r="A638" t="s">
        <v>1306</v>
      </c>
      <c r="B638">
        <v>34.130000000000003</v>
      </c>
      <c r="C638" t="s">
        <v>7</v>
      </c>
      <c r="D638">
        <v>5</v>
      </c>
      <c r="E638" t="s">
        <v>1307</v>
      </c>
      <c r="Z638" t="str">
        <f t="shared" si="9"/>
        <v>Normal</v>
      </c>
    </row>
    <row r="639" spans="1:26">
      <c r="A639" t="s">
        <v>1308</v>
      </c>
      <c r="B639">
        <v>58.81</v>
      </c>
      <c r="C639" t="s">
        <v>7</v>
      </c>
      <c r="D639">
        <v>5</v>
      </c>
      <c r="E639" t="s">
        <v>1309</v>
      </c>
      <c r="Z639" t="str">
        <f t="shared" si="9"/>
        <v>Normal</v>
      </c>
    </row>
    <row r="640" spans="1:26">
      <c r="A640" t="s">
        <v>1310</v>
      </c>
      <c r="B640">
        <v>10</v>
      </c>
      <c r="C640" t="s">
        <v>7</v>
      </c>
      <c r="D640">
        <v>5</v>
      </c>
      <c r="E640" t="s">
        <v>1311</v>
      </c>
      <c r="Z640" t="str">
        <f t="shared" si="9"/>
        <v>Normal</v>
      </c>
    </row>
    <row r="641" spans="1:26">
      <c r="A641" t="s">
        <v>1312</v>
      </c>
      <c r="B641">
        <v>51.22</v>
      </c>
      <c r="C641" t="s">
        <v>7</v>
      </c>
      <c r="D641">
        <v>2</v>
      </c>
      <c r="E641" t="s">
        <v>1313</v>
      </c>
      <c r="Z641" t="str">
        <f t="shared" si="9"/>
        <v>Normal</v>
      </c>
    </row>
    <row r="642" spans="1:26">
      <c r="A642" t="s">
        <v>1314</v>
      </c>
      <c r="B642">
        <v>58.59</v>
      </c>
      <c r="C642" t="s">
        <v>7</v>
      </c>
      <c r="D642">
        <v>4</v>
      </c>
      <c r="E642" t="s">
        <v>1315</v>
      </c>
      <c r="Z642" t="str">
        <f t="shared" si="9"/>
        <v>Normal</v>
      </c>
    </row>
    <row r="643" spans="1:26">
      <c r="A643" t="s">
        <v>1316</v>
      </c>
      <c r="B643">
        <v>31.3</v>
      </c>
      <c r="C643" t="s">
        <v>7</v>
      </c>
      <c r="D643">
        <v>1</v>
      </c>
      <c r="E643" t="s">
        <v>1317</v>
      </c>
      <c r="Z643" t="str">
        <f t="shared" si="9"/>
        <v>Normal</v>
      </c>
    </row>
    <row r="644" spans="1:26">
      <c r="A644" t="s">
        <v>1318</v>
      </c>
      <c r="B644">
        <v>46.42</v>
      </c>
      <c r="C644" t="s">
        <v>7</v>
      </c>
      <c r="D644">
        <v>2</v>
      </c>
      <c r="E644" t="s">
        <v>1319</v>
      </c>
      <c r="Z644" t="str">
        <f t="shared" si="9"/>
        <v>Normal</v>
      </c>
    </row>
    <row r="645" spans="1:26">
      <c r="A645" t="s">
        <v>1320</v>
      </c>
      <c r="B645">
        <v>17.21</v>
      </c>
      <c r="C645" t="s">
        <v>7</v>
      </c>
      <c r="D645">
        <v>4</v>
      </c>
      <c r="E645" t="s">
        <v>1321</v>
      </c>
      <c r="Z645" t="str">
        <f t="shared" si="9"/>
        <v>Normal</v>
      </c>
    </row>
    <row r="646" spans="1:26">
      <c r="A646" t="s">
        <v>1322</v>
      </c>
      <c r="B646">
        <v>10.79</v>
      </c>
      <c r="C646" t="s">
        <v>7</v>
      </c>
      <c r="D646">
        <v>3</v>
      </c>
      <c r="E646" t="s">
        <v>1323</v>
      </c>
      <c r="Z646" t="str">
        <f t="shared" si="9"/>
        <v>Normal</v>
      </c>
    </row>
    <row r="647" spans="1:26">
      <c r="A647" t="s">
        <v>1324</v>
      </c>
      <c r="B647">
        <v>52.35</v>
      </c>
      <c r="C647" t="s">
        <v>7</v>
      </c>
      <c r="D647">
        <v>4</v>
      </c>
      <c r="E647" t="s">
        <v>1325</v>
      </c>
      <c r="Z647" t="str">
        <f t="shared" si="9"/>
        <v>Normal</v>
      </c>
    </row>
    <row r="648" spans="1:26">
      <c r="A648" t="s">
        <v>1326</v>
      </c>
      <c r="B648">
        <v>27.88</v>
      </c>
      <c r="C648" t="s">
        <v>7</v>
      </c>
      <c r="D648">
        <v>3</v>
      </c>
      <c r="E648" t="s">
        <v>1327</v>
      </c>
      <c r="Z648" t="str">
        <f t="shared" ref="Z648:Z711" si="10">IF(OR(B648&lt;$U$13, B648&gt;$U$14),"Outlier","Normal")</f>
        <v>Normal</v>
      </c>
    </row>
    <row r="649" spans="1:26">
      <c r="A649" t="s">
        <v>1328</v>
      </c>
      <c r="B649">
        <v>50.26</v>
      </c>
      <c r="C649" t="s">
        <v>7</v>
      </c>
      <c r="D649">
        <v>2</v>
      </c>
      <c r="E649" t="s">
        <v>1329</v>
      </c>
      <c r="Z649" t="str">
        <f t="shared" si="10"/>
        <v>Normal</v>
      </c>
    </row>
    <row r="650" spans="1:26">
      <c r="A650" t="s">
        <v>1330</v>
      </c>
      <c r="B650">
        <v>59.99</v>
      </c>
      <c r="C650" t="s">
        <v>7</v>
      </c>
      <c r="D650">
        <v>3</v>
      </c>
      <c r="E650" t="s">
        <v>1331</v>
      </c>
      <c r="Z650" t="str">
        <f t="shared" si="10"/>
        <v>Normal</v>
      </c>
    </row>
    <row r="651" spans="1:26">
      <c r="A651" t="s">
        <v>1332</v>
      </c>
      <c r="B651">
        <v>28.32</v>
      </c>
      <c r="C651" t="s">
        <v>7</v>
      </c>
      <c r="D651">
        <v>5</v>
      </c>
      <c r="E651" t="s">
        <v>1333</v>
      </c>
      <c r="Z651" t="str">
        <f t="shared" si="10"/>
        <v>Normal</v>
      </c>
    </row>
    <row r="652" spans="1:26">
      <c r="A652" t="s">
        <v>1334</v>
      </c>
      <c r="B652">
        <v>38.71</v>
      </c>
      <c r="C652" t="s">
        <v>7</v>
      </c>
      <c r="D652">
        <v>3</v>
      </c>
      <c r="E652" t="s">
        <v>1335</v>
      </c>
      <c r="Z652" t="str">
        <f t="shared" si="10"/>
        <v>Normal</v>
      </c>
    </row>
    <row r="653" spans="1:26">
      <c r="A653" t="s">
        <v>1336</v>
      </c>
      <c r="B653">
        <v>29.85</v>
      </c>
      <c r="C653" t="s">
        <v>7</v>
      </c>
      <c r="D653">
        <v>5</v>
      </c>
      <c r="E653" t="s">
        <v>1337</v>
      </c>
      <c r="Z653" t="str">
        <f t="shared" si="10"/>
        <v>Normal</v>
      </c>
    </row>
    <row r="654" spans="1:26">
      <c r="A654" t="s">
        <v>1338</v>
      </c>
      <c r="B654">
        <v>14.82</v>
      </c>
      <c r="C654" t="s">
        <v>7</v>
      </c>
      <c r="D654">
        <v>2</v>
      </c>
      <c r="E654" t="s">
        <v>1339</v>
      </c>
      <c r="Z654" t="str">
        <f t="shared" si="10"/>
        <v>Normal</v>
      </c>
    </row>
    <row r="655" spans="1:26">
      <c r="A655" t="s">
        <v>1340</v>
      </c>
      <c r="B655">
        <v>16.809999999999999</v>
      </c>
      <c r="C655" t="s">
        <v>7</v>
      </c>
      <c r="D655">
        <v>4</v>
      </c>
      <c r="E655" t="s">
        <v>1341</v>
      </c>
      <c r="Z655" t="str">
        <f t="shared" si="10"/>
        <v>Normal</v>
      </c>
    </row>
    <row r="656" spans="1:26">
      <c r="A656" t="s">
        <v>1342</v>
      </c>
      <c r="B656">
        <v>28.23</v>
      </c>
      <c r="C656" t="s">
        <v>7</v>
      </c>
      <c r="D656">
        <v>2</v>
      </c>
      <c r="E656" t="s">
        <v>1343</v>
      </c>
      <c r="Z656" t="str">
        <f t="shared" si="10"/>
        <v>Normal</v>
      </c>
    </row>
    <row r="657" spans="1:26">
      <c r="A657" t="s">
        <v>1344</v>
      </c>
      <c r="B657">
        <v>52.11</v>
      </c>
      <c r="C657" t="s">
        <v>7</v>
      </c>
      <c r="D657">
        <v>2</v>
      </c>
      <c r="E657" t="s">
        <v>1345</v>
      </c>
      <c r="Z657" t="str">
        <f t="shared" si="10"/>
        <v>Normal</v>
      </c>
    </row>
    <row r="658" spans="1:26">
      <c r="A658" t="s">
        <v>1346</v>
      </c>
      <c r="B658">
        <v>27.88</v>
      </c>
      <c r="C658" t="s">
        <v>7</v>
      </c>
      <c r="D658">
        <v>2</v>
      </c>
      <c r="E658" t="s">
        <v>1347</v>
      </c>
      <c r="Z658" t="str">
        <f t="shared" si="10"/>
        <v>Normal</v>
      </c>
    </row>
    <row r="659" spans="1:26">
      <c r="A659" t="s">
        <v>1348</v>
      </c>
      <c r="B659">
        <v>59.71</v>
      </c>
      <c r="C659" t="s">
        <v>7</v>
      </c>
      <c r="D659">
        <v>3</v>
      </c>
      <c r="E659" t="s">
        <v>1349</v>
      </c>
      <c r="Z659" t="str">
        <f t="shared" si="10"/>
        <v>Normal</v>
      </c>
    </row>
    <row r="660" spans="1:26">
      <c r="A660" t="s">
        <v>1350</v>
      </c>
      <c r="B660">
        <v>46.08</v>
      </c>
      <c r="C660" t="s">
        <v>7</v>
      </c>
      <c r="D660">
        <v>5</v>
      </c>
      <c r="E660" t="s">
        <v>1351</v>
      </c>
      <c r="Z660" t="str">
        <f t="shared" si="10"/>
        <v>Normal</v>
      </c>
    </row>
    <row r="661" spans="1:26">
      <c r="A661" t="s">
        <v>1352</v>
      </c>
      <c r="B661">
        <v>13.73</v>
      </c>
      <c r="C661" t="s">
        <v>7</v>
      </c>
      <c r="D661">
        <v>5</v>
      </c>
      <c r="E661" t="s">
        <v>1353</v>
      </c>
      <c r="Z661" t="str">
        <f t="shared" si="10"/>
        <v>Normal</v>
      </c>
    </row>
    <row r="662" spans="1:26">
      <c r="A662" t="s">
        <v>1354</v>
      </c>
      <c r="B662">
        <v>48.39</v>
      </c>
      <c r="C662" t="s">
        <v>7</v>
      </c>
      <c r="D662">
        <v>5</v>
      </c>
      <c r="E662" t="s">
        <v>1355</v>
      </c>
      <c r="Z662" t="str">
        <f t="shared" si="10"/>
        <v>Normal</v>
      </c>
    </row>
    <row r="663" spans="1:26">
      <c r="A663" t="s">
        <v>1356</v>
      </c>
      <c r="B663">
        <v>49.45</v>
      </c>
      <c r="C663" t="s">
        <v>7</v>
      </c>
      <c r="D663">
        <v>5</v>
      </c>
      <c r="E663" t="s">
        <v>1357</v>
      </c>
      <c r="Z663" t="str">
        <f t="shared" si="10"/>
        <v>Normal</v>
      </c>
    </row>
    <row r="664" spans="1:26">
      <c r="A664" t="s">
        <v>1358</v>
      </c>
      <c r="B664">
        <v>19.670000000000002</v>
      </c>
      <c r="C664" t="s">
        <v>7</v>
      </c>
      <c r="D664">
        <v>5</v>
      </c>
      <c r="E664" t="s">
        <v>1359</v>
      </c>
      <c r="Z664" t="str">
        <f t="shared" si="10"/>
        <v>Normal</v>
      </c>
    </row>
    <row r="665" spans="1:26">
      <c r="A665" t="s">
        <v>1360</v>
      </c>
      <c r="B665">
        <v>12.36</v>
      </c>
      <c r="C665" t="s">
        <v>7</v>
      </c>
      <c r="D665">
        <v>3</v>
      </c>
      <c r="E665" t="s">
        <v>1361</v>
      </c>
      <c r="Z665" t="str">
        <f t="shared" si="10"/>
        <v>Normal</v>
      </c>
    </row>
    <row r="666" spans="1:26">
      <c r="A666" t="s">
        <v>1362</v>
      </c>
      <c r="B666">
        <v>20.02</v>
      </c>
      <c r="C666" t="s">
        <v>7</v>
      </c>
      <c r="D666">
        <v>5</v>
      </c>
      <c r="E666" t="s">
        <v>1363</v>
      </c>
      <c r="Z666" t="str">
        <f t="shared" si="10"/>
        <v>Normal</v>
      </c>
    </row>
    <row r="667" spans="1:26">
      <c r="A667" t="s">
        <v>1364</v>
      </c>
      <c r="B667">
        <v>12.75</v>
      </c>
      <c r="C667" t="s">
        <v>7</v>
      </c>
      <c r="D667">
        <v>4</v>
      </c>
      <c r="E667" t="s">
        <v>1365</v>
      </c>
      <c r="Z667" t="str">
        <f t="shared" si="10"/>
        <v>Normal</v>
      </c>
    </row>
    <row r="668" spans="1:26">
      <c r="A668" t="s">
        <v>1366</v>
      </c>
      <c r="B668">
        <v>47.51</v>
      </c>
      <c r="C668" t="s">
        <v>7</v>
      </c>
      <c r="D668">
        <v>4</v>
      </c>
      <c r="E668" t="s">
        <v>1367</v>
      </c>
      <c r="Z668" t="str">
        <f t="shared" si="10"/>
        <v>Normal</v>
      </c>
    </row>
    <row r="669" spans="1:26">
      <c r="A669" t="s">
        <v>1368</v>
      </c>
      <c r="B669">
        <v>20.440000000000001</v>
      </c>
      <c r="C669" t="s">
        <v>7</v>
      </c>
      <c r="D669">
        <v>4</v>
      </c>
      <c r="E669" t="s">
        <v>1369</v>
      </c>
      <c r="Z669" t="str">
        <f t="shared" si="10"/>
        <v>Normal</v>
      </c>
    </row>
    <row r="670" spans="1:26">
      <c r="A670" t="s">
        <v>1370</v>
      </c>
      <c r="B670">
        <v>34.79</v>
      </c>
      <c r="C670" t="s">
        <v>7</v>
      </c>
      <c r="D670">
        <v>2</v>
      </c>
      <c r="E670" t="s">
        <v>1371</v>
      </c>
      <c r="Z670" t="str">
        <f t="shared" si="10"/>
        <v>Normal</v>
      </c>
    </row>
    <row r="671" spans="1:26">
      <c r="A671" t="s">
        <v>1372</v>
      </c>
      <c r="B671">
        <v>28.07</v>
      </c>
      <c r="C671" t="s">
        <v>7</v>
      </c>
      <c r="D671">
        <v>4</v>
      </c>
      <c r="E671" t="s">
        <v>1373</v>
      </c>
      <c r="Z671" t="str">
        <f t="shared" si="10"/>
        <v>Normal</v>
      </c>
    </row>
    <row r="672" spans="1:26">
      <c r="A672" t="s">
        <v>1374</v>
      </c>
      <c r="B672">
        <v>25.01</v>
      </c>
      <c r="C672" t="s">
        <v>7</v>
      </c>
      <c r="D672">
        <v>3</v>
      </c>
      <c r="E672" t="s">
        <v>1375</v>
      </c>
      <c r="Z672" t="str">
        <f t="shared" si="10"/>
        <v>Normal</v>
      </c>
    </row>
    <row r="673" spans="1:26">
      <c r="A673" t="s">
        <v>1376</v>
      </c>
      <c r="B673">
        <v>13.9</v>
      </c>
      <c r="C673" t="s">
        <v>7</v>
      </c>
      <c r="D673">
        <v>3</v>
      </c>
      <c r="E673" t="s">
        <v>1377</v>
      </c>
      <c r="Z673" t="str">
        <f t="shared" si="10"/>
        <v>Normal</v>
      </c>
    </row>
    <row r="674" spans="1:26">
      <c r="A674" t="s">
        <v>1378</v>
      </c>
      <c r="B674">
        <v>24.17</v>
      </c>
      <c r="C674" t="s">
        <v>7</v>
      </c>
      <c r="D674">
        <v>4</v>
      </c>
      <c r="E674" t="s">
        <v>1379</v>
      </c>
      <c r="Z674" t="str">
        <f t="shared" si="10"/>
        <v>Normal</v>
      </c>
    </row>
    <row r="675" spans="1:26">
      <c r="A675" t="s">
        <v>1380</v>
      </c>
      <c r="B675">
        <v>31.63</v>
      </c>
      <c r="C675" t="s">
        <v>7</v>
      </c>
      <c r="D675">
        <v>4</v>
      </c>
      <c r="E675" t="s">
        <v>1381</v>
      </c>
      <c r="Z675" t="str">
        <f t="shared" si="10"/>
        <v>Normal</v>
      </c>
    </row>
    <row r="676" spans="1:26">
      <c r="A676" t="s">
        <v>1382</v>
      </c>
      <c r="B676">
        <v>48.75</v>
      </c>
      <c r="C676" t="s">
        <v>7</v>
      </c>
      <c r="D676">
        <v>5</v>
      </c>
      <c r="E676" t="s">
        <v>1383</v>
      </c>
      <c r="Z676" t="str">
        <f t="shared" si="10"/>
        <v>Normal</v>
      </c>
    </row>
    <row r="677" spans="1:26">
      <c r="A677" t="s">
        <v>1384</v>
      </c>
      <c r="B677">
        <v>14.74</v>
      </c>
      <c r="C677" t="s">
        <v>7</v>
      </c>
      <c r="D677">
        <v>1</v>
      </c>
      <c r="E677" t="s">
        <v>1385</v>
      </c>
      <c r="Z677" t="str">
        <f t="shared" si="10"/>
        <v>Normal</v>
      </c>
    </row>
    <row r="678" spans="1:26">
      <c r="A678" t="s">
        <v>1386</v>
      </c>
      <c r="B678">
        <v>32.49</v>
      </c>
      <c r="C678" t="s">
        <v>7</v>
      </c>
      <c r="D678">
        <v>3</v>
      </c>
      <c r="E678" t="s">
        <v>1387</v>
      </c>
      <c r="Z678" t="str">
        <f t="shared" si="10"/>
        <v>Normal</v>
      </c>
    </row>
    <row r="679" spans="1:26">
      <c r="A679" t="s">
        <v>1388</v>
      </c>
      <c r="B679">
        <v>27.8</v>
      </c>
      <c r="C679" t="s">
        <v>7</v>
      </c>
      <c r="D679">
        <v>1</v>
      </c>
      <c r="E679" t="s">
        <v>1389</v>
      </c>
      <c r="Z679" t="str">
        <f t="shared" si="10"/>
        <v>Normal</v>
      </c>
    </row>
    <row r="680" spans="1:26">
      <c r="A680" t="s">
        <v>1390</v>
      </c>
      <c r="B680">
        <v>26.77</v>
      </c>
      <c r="C680" t="s">
        <v>7</v>
      </c>
      <c r="D680">
        <v>1</v>
      </c>
      <c r="E680" t="s">
        <v>1391</v>
      </c>
      <c r="Z680" t="str">
        <f t="shared" si="10"/>
        <v>Normal</v>
      </c>
    </row>
    <row r="681" spans="1:26">
      <c r="A681" t="s">
        <v>1392</v>
      </c>
      <c r="B681">
        <v>50.44</v>
      </c>
      <c r="C681" t="s">
        <v>7</v>
      </c>
      <c r="D681">
        <v>4</v>
      </c>
      <c r="E681" t="s">
        <v>1393</v>
      </c>
      <c r="Z681" t="str">
        <f t="shared" si="10"/>
        <v>Normal</v>
      </c>
    </row>
    <row r="682" spans="1:26">
      <c r="A682" t="s">
        <v>1394</v>
      </c>
      <c r="B682">
        <v>34.93</v>
      </c>
      <c r="C682" t="s">
        <v>7</v>
      </c>
      <c r="D682">
        <v>2</v>
      </c>
      <c r="E682" t="s">
        <v>1395</v>
      </c>
      <c r="Z682" t="str">
        <f t="shared" si="10"/>
        <v>Normal</v>
      </c>
    </row>
    <row r="683" spans="1:26">
      <c r="A683" t="s">
        <v>1396</v>
      </c>
      <c r="B683">
        <v>12.87</v>
      </c>
      <c r="C683" t="s">
        <v>7</v>
      </c>
      <c r="D683">
        <v>1</v>
      </c>
      <c r="E683" t="s">
        <v>1397</v>
      </c>
      <c r="Z683" t="str">
        <f t="shared" si="10"/>
        <v>Normal</v>
      </c>
    </row>
    <row r="684" spans="1:26">
      <c r="A684" t="s">
        <v>1398</v>
      </c>
      <c r="B684">
        <v>48.94</v>
      </c>
      <c r="C684" t="s">
        <v>7</v>
      </c>
      <c r="D684">
        <v>2</v>
      </c>
      <c r="E684" t="s">
        <v>1399</v>
      </c>
      <c r="Z684" t="str">
        <f t="shared" si="10"/>
        <v>Normal</v>
      </c>
    </row>
    <row r="685" spans="1:26">
      <c r="A685" t="s">
        <v>1400</v>
      </c>
      <c r="B685">
        <v>13.38</v>
      </c>
      <c r="C685" t="s">
        <v>7</v>
      </c>
      <c r="D685">
        <v>3</v>
      </c>
      <c r="E685" t="s">
        <v>1401</v>
      </c>
      <c r="Z685" t="str">
        <f t="shared" si="10"/>
        <v>Normal</v>
      </c>
    </row>
    <row r="686" spans="1:26">
      <c r="A686" t="s">
        <v>1402</v>
      </c>
      <c r="B686">
        <v>58.63</v>
      </c>
      <c r="C686" t="s">
        <v>7</v>
      </c>
      <c r="D686">
        <v>3</v>
      </c>
      <c r="E686" t="s">
        <v>1403</v>
      </c>
      <c r="Z686" t="str">
        <f t="shared" si="10"/>
        <v>Normal</v>
      </c>
    </row>
    <row r="687" spans="1:26">
      <c r="A687" t="s">
        <v>1404</v>
      </c>
      <c r="B687">
        <v>21.94</v>
      </c>
      <c r="C687" t="s">
        <v>7</v>
      </c>
      <c r="D687">
        <v>1</v>
      </c>
      <c r="E687" t="s">
        <v>1405</v>
      </c>
      <c r="Z687" t="str">
        <f t="shared" si="10"/>
        <v>Normal</v>
      </c>
    </row>
    <row r="688" spans="1:26">
      <c r="A688" t="s">
        <v>1406</v>
      </c>
      <c r="B688">
        <v>26.58</v>
      </c>
      <c r="C688" t="s">
        <v>7</v>
      </c>
      <c r="D688">
        <v>5</v>
      </c>
      <c r="E688" t="s">
        <v>1407</v>
      </c>
      <c r="Z688" t="str">
        <f t="shared" si="10"/>
        <v>Normal</v>
      </c>
    </row>
    <row r="689" spans="1:26">
      <c r="A689" t="s">
        <v>1408</v>
      </c>
      <c r="B689">
        <v>57.22</v>
      </c>
      <c r="C689" t="s">
        <v>7</v>
      </c>
      <c r="D689">
        <v>3</v>
      </c>
      <c r="E689" t="s">
        <v>1409</v>
      </c>
      <c r="Z689" t="str">
        <f t="shared" si="10"/>
        <v>Normal</v>
      </c>
    </row>
    <row r="690" spans="1:26">
      <c r="A690" t="s">
        <v>1410</v>
      </c>
      <c r="B690">
        <v>56.43</v>
      </c>
      <c r="C690" t="s">
        <v>7</v>
      </c>
      <c r="D690">
        <v>1</v>
      </c>
      <c r="E690" t="s">
        <v>1411</v>
      </c>
      <c r="Z690" t="str">
        <f t="shared" si="10"/>
        <v>Normal</v>
      </c>
    </row>
    <row r="691" spans="1:26">
      <c r="A691" t="s">
        <v>1412</v>
      </c>
      <c r="B691">
        <v>55.65</v>
      </c>
      <c r="C691" t="s">
        <v>7</v>
      </c>
      <c r="D691">
        <v>5</v>
      </c>
      <c r="E691" t="s">
        <v>1413</v>
      </c>
      <c r="Z691" t="str">
        <f t="shared" si="10"/>
        <v>Normal</v>
      </c>
    </row>
    <row r="692" spans="1:26">
      <c r="A692" t="s">
        <v>1414</v>
      </c>
      <c r="B692">
        <v>27.62</v>
      </c>
      <c r="C692" t="s">
        <v>7</v>
      </c>
      <c r="D692">
        <v>1</v>
      </c>
      <c r="E692" t="s">
        <v>1415</v>
      </c>
      <c r="Z692" t="str">
        <f t="shared" si="10"/>
        <v>Normal</v>
      </c>
    </row>
    <row r="693" spans="1:26">
      <c r="A693" t="s">
        <v>1416</v>
      </c>
      <c r="B693">
        <v>49.56</v>
      </c>
      <c r="C693" t="s">
        <v>7</v>
      </c>
      <c r="D693">
        <v>4</v>
      </c>
      <c r="E693" t="s">
        <v>1417</v>
      </c>
      <c r="Z693" t="str">
        <f t="shared" si="10"/>
        <v>Normal</v>
      </c>
    </row>
    <row r="694" spans="1:26">
      <c r="A694" t="s">
        <v>1418</v>
      </c>
      <c r="B694">
        <v>34.770000000000003</v>
      </c>
      <c r="C694" t="s">
        <v>7</v>
      </c>
      <c r="D694">
        <v>1</v>
      </c>
      <c r="E694" t="s">
        <v>1419</v>
      </c>
      <c r="Z694" t="str">
        <f t="shared" si="10"/>
        <v>Normal</v>
      </c>
    </row>
    <row r="695" spans="1:26">
      <c r="A695" t="s">
        <v>1420</v>
      </c>
      <c r="B695">
        <v>17.73</v>
      </c>
      <c r="C695" t="s">
        <v>7</v>
      </c>
      <c r="D695">
        <v>3</v>
      </c>
      <c r="E695" t="s">
        <v>1421</v>
      </c>
      <c r="Z695" t="str">
        <f t="shared" si="10"/>
        <v>Normal</v>
      </c>
    </row>
    <row r="696" spans="1:26">
      <c r="A696" t="s">
        <v>1422</v>
      </c>
      <c r="B696">
        <v>21.8</v>
      </c>
      <c r="C696" t="s">
        <v>7</v>
      </c>
      <c r="D696">
        <v>1</v>
      </c>
      <c r="E696" t="s">
        <v>1423</v>
      </c>
      <c r="Z696" t="str">
        <f t="shared" si="10"/>
        <v>Normal</v>
      </c>
    </row>
    <row r="697" spans="1:26">
      <c r="A697" t="s">
        <v>1424</v>
      </c>
      <c r="B697">
        <v>46.02</v>
      </c>
      <c r="C697" t="s">
        <v>7</v>
      </c>
      <c r="D697">
        <v>3</v>
      </c>
      <c r="E697" t="s">
        <v>1425</v>
      </c>
      <c r="Z697" t="str">
        <f t="shared" si="10"/>
        <v>Normal</v>
      </c>
    </row>
    <row r="698" spans="1:26">
      <c r="A698" t="s">
        <v>1426</v>
      </c>
      <c r="B698">
        <v>18.13</v>
      </c>
      <c r="C698" t="s">
        <v>7</v>
      </c>
      <c r="D698">
        <v>1</v>
      </c>
      <c r="E698" t="s">
        <v>1427</v>
      </c>
      <c r="Z698" t="str">
        <f t="shared" si="10"/>
        <v>Normal</v>
      </c>
    </row>
    <row r="699" spans="1:26">
      <c r="A699" t="s">
        <v>1428</v>
      </c>
      <c r="B699">
        <v>30.89</v>
      </c>
      <c r="C699" t="s">
        <v>7</v>
      </c>
      <c r="D699">
        <v>5</v>
      </c>
      <c r="E699" t="s">
        <v>1429</v>
      </c>
      <c r="Z699" t="str">
        <f t="shared" si="10"/>
        <v>Normal</v>
      </c>
    </row>
    <row r="700" spans="1:26">
      <c r="A700" t="s">
        <v>1430</v>
      </c>
      <c r="B700">
        <v>31.95</v>
      </c>
      <c r="C700" t="s">
        <v>7</v>
      </c>
      <c r="D700">
        <v>3</v>
      </c>
      <c r="E700" t="s">
        <v>1431</v>
      </c>
      <c r="Z700" t="str">
        <f t="shared" si="10"/>
        <v>Normal</v>
      </c>
    </row>
    <row r="701" spans="1:26">
      <c r="A701" t="s">
        <v>1432</v>
      </c>
      <c r="B701">
        <v>24.04</v>
      </c>
      <c r="C701" t="s">
        <v>7</v>
      </c>
      <c r="D701">
        <v>1</v>
      </c>
      <c r="E701" t="s">
        <v>1433</v>
      </c>
      <c r="Z701" t="str">
        <f t="shared" si="10"/>
        <v>Normal</v>
      </c>
    </row>
    <row r="702" spans="1:26">
      <c r="A702" t="s">
        <v>1434</v>
      </c>
      <c r="B702">
        <v>32.36</v>
      </c>
      <c r="C702" t="s">
        <v>7</v>
      </c>
      <c r="D702">
        <v>3</v>
      </c>
      <c r="E702" t="s">
        <v>1435</v>
      </c>
      <c r="Z702" t="str">
        <f t="shared" si="10"/>
        <v>Normal</v>
      </c>
    </row>
    <row r="703" spans="1:26">
      <c r="A703" t="s">
        <v>1436</v>
      </c>
      <c r="B703">
        <v>21.07</v>
      </c>
      <c r="C703" t="s">
        <v>7</v>
      </c>
      <c r="D703">
        <v>5</v>
      </c>
      <c r="E703" t="s">
        <v>1437</v>
      </c>
      <c r="Z703" t="str">
        <f t="shared" si="10"/>
        <v>Normal</v>
      </c>
    </row>
    <row r="704" spans="1:26">
      <c r="A704" t="s">
        <v>1438</v>
      </c>
      <c r="B704">
        <v>50.66</v>
      </c>
      <c r="C704" t="s">
        <v>7</v>
      </c>
      <c r="D704">
        <v>3</v>
      </c>
      <c r="E704" t="s">
        <v>1439</v>
      </c>
      <c r="Z704" t="str">
        <f t="shared" si="10"/>
        <v>Normal</v>
      </c>
    </row>
    <row r="705" spans="1:26">
      <c r="A705" t="s">
        <v>1440</v>
      </c>
      <c r="B705">
        <v>13.66</v>
      </c>
      <c r="C705" t="s">
        <v>7</v>
      </c>
      <c r="D705">
        <v>2</v>
      </c>
      <c r="E705" t="s">
        <v>1441</v>
      </c>
      <c r="Z705" t="str">
        <f t="shared" si="10"/>
        <v>Normal</v>
      </c>
    </row>
    <row r="706" spans="1:26">
      <c r="A706" t="s">
        <v>1442</v>
      </c>
      <c r="B706">
        <v>58.09</v>
      </c>
      <c r="C706" t="s">
        <v>7</v>
      </c>
      <c r="D706">
        <v>1</v>
      </c>
      <c r="E706" t="s">
        <v>1443</v>
      </c>
      <c r="Z706" t="str">
        <f t="shared" si="10"/>
        <v>Normal</v>
      </c>
    </row>
    <row r="707" spans="1:26">
      <c r="A707" t="s">
        <v>1444</v>
      </c>
      <c r="B707">
        <v>30</v>
      </c>
      <c r="C707" t="s">
        <v>7</v>
      </c>
      <c r="D707">
        <v>1</v>
      </c>
      <c r="E707" t="s">
        <v>1445</v>
      </c>
      <c r="Z707" t="str">
        <f t="shared" si="10"/>
        <v>Normal</v>
      </c>
    </row>
    <row r="708" spans="1:26">
      <c r="A708" t="s">
        <v>1446</v>
      </c>
      <c r="B708">
        <v>32.74</v>
      </c>
      <c r="C708" t="s">
        <v>7</v>
      </c>
      <c r="D708">
        <v>2</v>
      </c>
      <c r="E708" t="s">
        <v>1447</v>
      </c>
      <c r="Z708" t="str">
        <f t="shared" si="10"/>
        <v>Normal</v>
      </c>
    </row>
    <row r="709" spans="1:26">
      <c r="A709" t="s">
        <v>1448</v>
      </c>
      <c r="B709">
        <v>41.93</v>
      </c>
      <c r="C709" t="s">
        <v>7</v>
      </c>
      <c r="D709">
        <v>2</v>
      </c>
      <c r="E709" t="s">
        <v>1449</v>
      </c>
      <c r="Z709" t="str">
        <f t="shared" si="10"/>
        <v>Normal</v>
      </c>
    </row>
    <row r="710" spans="1:26">
      <c r="A710" t="s">
        <v>1450</v>
      </c>
      <c r="B710">
        <v>42.8</v>
      </c>
      <c r="C710" t="s">
        <v>7</v>
      </c>
      <c r="D710">
        <v>2</v>
      </c>
      <c r="E710" t="s">
        <v>1451</v>
      </c>
      <c r="Z710" t="str">
        <f t="shared" si="10"/>
        <v>Normal</v>
      </c>
    </row>
    <row r="711" spans="1:26">
      <c r="A711" t="s">
        <v>1452</v>
      </c>
      <c r="B711">
        <v>53.51</v>
      </c>
      <c r="C711" t="s">
        <v>7</v>
      </c>
      <c r="D711">
        <v>1</v>
      </c>
      <c r="E711" t="s">
        <v>1453</v>
      </c>
      <c r="Z711" t="str">
        <f t="shared" si="10"/>
        <v>Normal</v>
      </c>
    </row>
    <row r="712" spans="1:26">
      <c r="A712" t="s">
        <v>1454</v>
      </c>
      <c r="B712">
        <v>23.21</v>
      </c>
      <c r="C712" t="s">
        <v>7</v>
      </c>
      <c r="D712">
        <v>3</v>
      </c>
      <c r="E712" t="s">
        <v>1455</v>
      </c>
      <c r="Z712" t="str">
        <f t="shared" ref="Z712:Z775" si="11">IF(OR(B712&lt;$U$13, B712&gt;$U$14),"Outlier","Normal")</f>
        <v>Normal</v>
      </c>
    </row>
    <row r="713" spans="1:26">
      <c r="A713" t="s">
        <v>1456</v>
      </c>
      <c r="B713">
        <v>21.14</v>
      </c>
      <c r="C713" t="s">
        <v>7</v>
      </c>
      <c r="D713">
        <v>1</v>
      </c>
      <c r="E713" t="s">
        <v>1457</v>
      </c>
      <c r="Z713" t="str">
        <f t="shared" si="11"/>
        <v>Normal</v>
      </c>
    </row>
    <row r="714" spans="1:26">
      <c r="A714" t="s">
        <v>1458</v>
      </c>
      <c r="B714">
        <v>56.07</v>
      </c>
      <c r="C714" t="s">
        <v>7</v>
      </c>
      <c r="D714">
        <v>3</v>
      </c>
      <c r="E714" t="s">
        <v>1459</v>
      </c>
      <c r="Z714" t="str">
        <f t="shared" si="11"/>
        <v>Normal</v>
      </c>
    </row>
    <row r="715" spans="1:26">
      <c r="A715" t="s">
        <v>1460</v>
      </c>
      <c r="B715">
        <v>14.41</v>
      </c>
      <c r="C715" t="s">
        <v>7</v>
      </c>
      <c r="D715">
        <v>3</v>
      </c>
      <c r="E715" t="s">
        <v>1461</v>
      </c>
      <c r="Z715" t="str">
        <f t="shared" si="11"/>
        <v>Normal</v>
      </c>
    </row>
    <row r="716" spans="1:26">
      <c r="A716" t="s">
        <v>1462</v>
      </c>
      <c r="B716">
        <v>45.75</v>
      </c>
      <c r="C716" t="s">
        <v>7</v>
      </c>
      <c r="D716">
        <v>4</v>
      </c>
      <c r="E716" t="s">
        <v>1463</v>
      </c>
      <c r="Z716" t="str">
        <f t="shared" si="11"/>
        <v>Normal</v>
      </c>
    </row>
    <row r="717" spans="1:26">
      <c r="A717" t="s">
        <v>1464</v>
      </c>
      <c r="B717">
        <v>15.77</v>
      </c>
      <c r="C717" t="s">
        <v>7</v>
      </c>
      <c r="D717">
        <v>1</v>
      </c>
      <c r="E717" t="s">
        <v>1465</v>
      </c>
      <c r="Z717" t="str">
        <f t="shared" si="11"/>
        <v>Normal</v>
      </c>
    </row>
    <row r="718" spans="1:26">
      <c r="A718" t="s">
        <v>1466</v>
      </c>
      <c r="B718">
        <v>10.02</v>
      </c>
      <c r="C718" t="s">
        <v>7</v>
      </c>
      <c r="D718">
        <v>2</v>
      </c>
      <c r="E718" t="s">
        <v>1467</v>
      </c>
      <c r="Z718" t="str">
        <f t="shared" si="11"/>
        <v>Normal</v>
      </c>
    </row>
    <row r="719" spans="1:26">
      <c r="A719" t="s">
        <v>1468</v>
      </c>
      <c r="B719">
        <v>48.77</v>
      </c>
      <c r="C719" t="s">
        <v>7</v>
      </c>
      <c r="D719">
        <v>1</v>
      </c>
      <c r="E719" t="s">
        <v>1469</v>
      </c>
      <c r="Z719" t="str">
        <f t="shared" si="11"/>
        <v>Normal</v>
      </c>
    </row>
    <row r="720" spans="1:26">
      <c r="A720" t="s">
        <v>1470</v>
      </c>
      <c r="B720">
        <v>57.86</v>
      </c>
      <c r="C720" t="s">
        <v>7</v>
      </c>
      <c r="D720">
        <v>2</v>
      </c>
      <c r="E720" t="s">
        <v>1471</v>
      </c>
      <c r="Z720" t="str">
        <f t="shared" si="11"/>
        <v>Normal</v>
      </c>
    </row>
    <row r="721" spans="1:26">
      <c r="A721" t="s">
        <v>1472</v>
      </c>
      <c r="B721">
        <v>23.59</v>
      </c>
      <c r="C721" t="s">
        <v>7</v>
      </c>
      <c r="D721">
        <v>1</v>
      </c>
      <c r="E721" t="s">
        <v>1473</v>
      </c>
      <c r="Z721" t="str">
        <f t="shared" si="11"/>
        <v>Normal</v>
      </c>
    </row>
    <row r="722" spans="1:26">
      <c r="A722" t="s">
        <v>1474</v>
      </c>
      <c r="B722">
        <v>23.05</v>
      </c>
      <c r="C722" t="s">
        <v>7</v>
      </c>
      <c r="D722">
        <v>5</v>
      </c>
      <c r="E722" t="s">
        <v>1475</v>
      </c>
      <c r="Z722" t="str">
        <f t="shared" si="11"/>
        <v>Normal</v>
      </c>
    </row>
    <row r="723" spans="1:26">
      <c r="A723" t="s">
        <v>1476</v>
      </c>
      <c r="B723">
        <v>55.55</v>
      </c>
      <c r="C723" t="s">
        <v>7</v>
      </c>
      <c r="D723">
        <v>5</v>
      </c>
      <c r="E723" t="s">
        <v>1477</v>
      </c>
      <c r="Z723" t="str">
        <f t="shared" si="11"/>
        <v>Normal</v>
      </c>
    </row>
    <row r="724" spans="1:26">
      <c r="A724" t="s">
        <v>1478</v>
      </c>
      <c r="B724">
        <v>58.64</v>
      </c>
      <c r="C724" t="s">
        <v>7</v>
      </c>
      <c r="D724">
        <v>4</v>
      </c>
      <c r="E724" t="s">
        <v>1479</v>
      </c>
      <c r="Z724" t="str">
        <f t="shared" si="11"/>
        <v>Normal</v>
      </c>
    </row>
    <row r="725" spans="1:26">
      <c r="A725" t="s">
        <v>1480</v>
      </c>
      <c r="B725">
        <v>23.21</v>
      </c>
      <c r="C725" t="s">
        <v>7</v>
      </c>
      <c r="D725">
        <v>1</v>
      </c>
      <c r="E725" t="s">
        <v>1481</v>
      </c>
      <c r="Z725" t="str">
        <f t="shared" si="11"/>
        <v>Normal</v>
      </c>
    </row>
    <row r="726" spans="1:26">
      <c r="A726" t="s">
        <v>1482</v>
      </c>
      <c r="B726">
        <v>42.57</v>
      </c>
      <c r="C726" t="s">
        <v>7</v>
      </c>
      <c r="D726">
        <v>3</v>
      </c>
      <c r="E726" t="s">
        <v>1483</v>
      </c>
      <c r="Z726" t="str">
        <f t="shared" si="11"/>
        <v>Normal</v>
      </c>
    </row>
    <row r="727" spans="1:26">
      <c r="A727" t="s">
        <v>1484</v>
      </c>
      <c r="B727">
        <v>10.92</v>
      </c>
      <c r="C727" t="s">
        <v>7</v>
      </c>
      <c r="D727">
        <v>1</v>
      </c>
      <c r="E727" t="s">
        <v>1485</v>
      </c>
      <c r="Z727" t="str">
        <f t="shared" si="11"/>
        <v>Normal</v>
      </c>
    </row>
    <row r="728" spans="1:26">
      <c r="A728" t="s">
        <v>1486</v>
      </c>
      <c r="B728">
        <v>34.770000000000003</v>
      </c>
      <c r="C728" t="s">
        <v>7</v>
      </c>
      <c r="D728">
        <v>1</v>
      </c>
      <c r="E728" t="s">
        <v>1487</v>
      </c>
      <c r="Z728" t="str">
        <f t="shared" si="11"/>
        <v>Normal</v>
      </c>
    </row>
    <row r="729" spans="1:26">
      <c r="A729" t="s">
        <v>1488</v>
      </c>
      <c r="B729">
        <v>35.659999999999997</v>
      </c>
      <c r="C729" t="s">
        <v>7</v>
      </c>
      <c r="D729">
        <v>5</v>
      </c>
      <c r="E729" t="s">
        <v>1489</v>
      </c>
      <c r="Z729" t="str">
        <f t="shared" si="11"/>
        <v>Normal</v>
      </c>
    </row>
    <row r="730" spans="1:26">
      <c r="A730" t="s">
        <v>1490</v>
      </c>
      <c r="B730">
        <v>37.19</v>
      </c>
      <c r="C730" t="s">
        <v>7</v>
      </c>
      <c r="D730">
        <v>3</v>
      </c>
      <c r="E730" t="s">
        <v>1491</v>
      </c>
      <c r="Z730" t="str">
        <f t="shared" si="11"/>
        <v>Normal</v>
      </c>
    </row>
    <row r="731" spans="1:26">
      <c r="A731" t="s">
        <v>1492</v>
      </c>
      <c r="B731">
        <v>12.25</v>
      </c>
      <c r="C731" t="s">
        <v>7</v>
      </c>
      <c r="D731">
        <v>1</v>
      </c>
      <c r="E731" t="s">
        <v>1493</v>
      </c>
      <c r="Z731" t="str">
        <f t="shared" si="11"/>
        <v>Normal</v>
      </c>
    </row>
    <row r="732" spans="1:26">
      <c r="A732" t="s">
        <v>1494</v>
      </c>
      <c r="B732">
        <v>29.7</v>
      </c>
      <c r="C732" t="s">
        <v>7</v>
      </c>
      <c r="D732">
        <v>2</v>
      </c>
      <c r="E732" t="s">
        <v>1495</v>
      </c>
      <c r="Z732" t="str">
        <f t="shared" si="11"/>
        <v>Normal</v>
      </c>
    </row>
    <row r="733" spans="1:26">
      <c r="A733" t="s">
        <v>1496</v>
      </c>
      <c r="B733">
        <v>36.799999999999997</v>
      </c>
      <c r="C733" t="s">
        <v>7</v>
      </c>
      <c r="D733">
        <v>3</v>
      </c>
      <c r="E733" t="s">
        <v>1497</v>
      </c>
      <c r="Z733" t="str">
        <f t="shared" si="11"/>
        <v>Normal</v>
      </c>
    </row>
    <row r="734" spans="1:26">
      <c r="A734" t="s">
        <v>1498</v>
      </c>
      <c r="B734">
        <v>45.43</v>
      </c>
      <c r="C734" t="s">
        <v>7</v>
      </c>
      <c r="D734">
        <v>1</v>
      </c>
      <c r="E734" t="s">
        <v>1499</v>
      </c>
      <c r="Z734" t="str">
        <f t="shared" si="11"/>
        <v>Normal</v>
      </c>
    </row>
    <row r="735" spans="1:26">
      <c r="A735" t="s">
        <v>1500</v>
      </c>
      <c r="B735">
        <v>26.26</v>
      </c>
      <c r="C735" t="s">
        <v>7</v>
      </c>
      <c r="D735">
        <v>4</v>
      </c>
      <c r="E735" t="s">
        <v>1501</v>
      </c>
      <c r="Z735" t="str">
        <f t="shared" si="11"/>
        <v>Normal</v>
      </c>
    </row>
    <row r="736" spans="1:26">
      <c r="A736" t="s">
        <v>1502</v>
      </c>
      <c r="B736">
        <v>44.92</v>
      </c>
      <c r="C736" t="s">
        <v>7</v>
      </c>
      <c r="D736">
        <v>3</v>
      </c>
      <c r="E736" t="s">
        <v>1503</v>
      </c>
      <c r="Z736" t="str">
        <f t="shared" si="11"/>
        <v>Normal</v>
      </c>
    </row>
    <row r="737" spans="1:26">
      <c r="A737" t="s">
        <v>1504</v>
      </c>
      <c r="B737">
        <v>52.53</v>
      </c>
      <c r="C737" t="s">
        <v>7</v>
      </c>
      <c r="D737">
        <v>5</v>
      </c>
      <c r="E737" t="s">
        <v>1505</v>
      </c>
      <c r="Z737" t="str">
        <f t="shared" si="11"/>
        <v>Normal</v>
      </c>
    </row>
    <row r="738" spans="1:26">
      <c r="A738" t="s">
        <v>1506</v>
      </c>
      <c r="B738">
        <v>37.25</v>
      </c>
      <c r="C738" t="s">
        <v>7</v>
      </c>
      <c r="D738">
        <v>2</v>
      </c>
      <c r="E738" t="s">
        <v>1507</v>
      </c>
      <c r="Z738" t="str">
        <f t="shared" si="11"/>
        <v>Normal</v>
      </c>
    </row>
    <row r="739" spans="1:26">
      <c r="A739" t="s">
        <v>1508</v>
      </c>
      <c r="B739">
        <v>20.93</v>
      </c>
      <c r="C739" t="s">
        <v>7</v>
      </c>
      <c r="D739">
        <v>1</v>
      </c>
      <c r="E739" t="s">
        <v>1509</v>
      </c>
      <c r="Z739" t="str">
        <f t="shared" si="11"/>
        <v>Normal</v>
      </c>
    </row>
    <row r="740" spans="1:26">
      <c r="A740" t="s">
        <v>1510</v>
      </c>
      <c r="B740">
        <v>58.09</v>
      </c>
      <c r="C740" t="s">
        <v>7</v>
      </c>
      <c r="D740">
        <v>2</v>
      </c>
      <c r="E740" t="s">
        <v>1511</v>
      </c>
      <c r="Z740" t="str">
        <f t="shared" si="11"/>
        <v>Normal</v>
      </c>
    </row>
    <row r="741" spans="1:26">
      <c r="A741" t="s">
        <v>1512</v>
      </c>
      <c r="B741">
        <v>43.59</v>
      </c>
      <c r="C741" t="s">
        <v>7</v>
      </c>
      <c r="D741">
        <v>5</v>
      </c>
      <c r="E741" t="s">
        <v>1513</v>
      </c>
      <c r="Z741" t="str">
        <f t="shared" si="11"/>
        <v>Normal</v>
      </c>
    </row>
    <row r="742" spans="1:26">
      <c r="A742" t="s">
        <v>1514</v>
      </c>
      <c r="B742">
        <v>33.92</v>
      </c>
      <c r="C742" t="s">
        <v>7</v>
      </c>
      <c r="D742">
        <v>3</v>
      </c>
      <c r="E742" t="s">
        <v>1515</v>
      </c>
      <c r="Z742" t="str">
        <f t="shared" si="11"/>
        <v>Normal</v>
      </c>
    </row>
    <row r="743" spans="1:26">
      <c r="A743" t="s">
        <v>1516</v>
      </c>
      <c r="B743">
        <v>55.55</v>
      </c>
      <c r="C743" t="s">
        <v>7</v>
      </c>
      <c r="D743">
        <v>2</v>
      </c>
      <c r="E743" t="s">
        <v>1517</v>
      </c>
      <c r="Z743" t="str">
        <f t="shared" si="11"/>
        <v>Normal</v>
      </c>
    </row>
    <row r="744" spans="1:26">
      <c r="A744" t="s">
        <v>1518</v>
      </c>
      <c r="B744">
        <v>29.64</v>
      </c>
      <c r="C744" t="s">
        <v>7</v>
      </c>
      <c r="D744">
        <v>4</v>
      </c>
      <c r="E744" t="s">
        <v>1519</v>
      </c>
      <c r="Z744" t="str">
        <f t="shared" si="11"/>
        <v>Normal</v>
      </c>
    </row>
    <row r="745" spans="1:26">
      <c r="A745" t="s">
        <v>1520</v>
      </c>
      <c r="B745">
        <v>27.41</v>
      </c>
      <c r="C745" t="s">
        <v>7</v>
      </c>
      <c r="D745">
        <v>1</v>
      </c>
      <c r="E745" t="s">
        <v>1521</v>
      </c>
      <c r="Z745" t="str">
        <f t="shared" si="11"/>
        <v>Normal</v>
      </c>
    </row>
    <row r="746" spans="1:26">
      <c r="A746" t="s">
        <v>1522</v>
      </c>
      <c r="B746">
        <v>52.51</v>
      </c>
      <c r="C746" t="s">
        <v>7</v>
      </c>
      <c r="D746">
        <v>5</v>
      </c>
      <c r="E746" t="s">
        <v>1523</v>
      </c>
      <c r="Z746" t="str">
        <f t="shared" si="11"/>
        <v>Normal</v>
      </c>
    </row>
    <row r="747" spans="1:26">
      <c r="A747" t="s">
        <v>1524</v>
      </c>
      <c r="B747">
        <v>47.8</v>
      </c>
      <c r="C747" t="s">
        <v>7</v>
      </c>
      <c r="D747">
        <v>3</v>
      </c>
      <c r="E747" t="s">
        <v>1525</v>
      </c>
      <c r="Z747" t="str">
        <f t="shared" si="11"/>
        <v>Normal</v>
      </c>
    </row>
    <row r="748" spans="1:26">
      <c r="A748" t="s">
        <v>1526</v>
      </c>
      <c r="B748">
        <v>14.54</v>
      </c>
      <c r="C748" t="s">
        <v>7</v>
      </c>
      <c r="D748">
        <v>2</v>
      </c>
      <c r="E748" t="s">
        <v>1527</v>
      </c>
      <c r="Z748" t="str">
        <f t="shared" si="11"/>
        <v>Normal</v>
      </c>
    </row>
    <row r="749" spans="1:26">
      <c r="A749" t="s">
        <v>1528</v>
      </c>
      <c r="B749">
        <v>49.53</v>
      </c>
      <c r="C749" t="s">
        <v>7</v>
      </c>
      <c r="D749">
        <v>1</v>
      </c>
      <c r="E749" t="s">
        <v>1529</v>
      </c>
      <c r="Z749" t="str">
        <f t="shared" si="11"/>
        <v>Normal</v>
      </c>
    </row>
    <row r="750" spans="1:26">
      <c r="A750" t="s">
        <v>1530</v>
      </c>
      <c r="B750">
        <v>43.58</v>
      </c>
      <c r="C750" t="s">
        <v>7</v>
      </c>
      <c r="D750">
        <v>3</v>
      </c>
      <c r="E750" t="s">
        <v>1531</v>
      </c>
      <c r="Z750" t="str">
        <f t="shared" si="11"/>
        <v>Normal</v>
      </c>
    </row>
    <row r="751" spans="1:26">
      <c r="A751" t="s">
        <v>1532</v>
      </c>
      <c r="B751">
        <v>12.3</v>
      </c>
      <c r="C751" t="s">
        <v>7</v>
      </c>
      <c r="D751">
        <v>1</v>
      </c>
      <c r="E751" t="s">
        <v>1533</v>
      </c>
      <c r="Z751" t="str">
        <f t="shared" si="11"/>
        <v>Normal</v>
      </c>
    </row>
    <row r="752" spans="1:26">
      <c r="A752" t="s">
        <v>1534</v>
      </c>
      <c r="B752">
        <v>49.47</v>
      </c>
      <c r="C752" t="s">
        <v>7</v>
      </c>
      <c r="D752">
        <v>3</v>
      </c>
      <c r="E752" t="s">
        <v>1535</v>
      </c>
      <c r="Z752" t="str">
        <f t="shared" si="11"/>
        <v>Normal</v>
      </c>
    </row>
    <row r="753" spans="1:26">
      <c r="A753" t="s">
        <v>1536</v>
      </c>
      <c r="B753">
        <v>22.14</v>
      </c>
      <c r="C753" t="s">
        <v>7</v>
      </c>
      <c r="D753">
        <v>2</v>
      </c>
      <c r="E753" t="s">
        <v>1537</v>
      </c>
      <c r="Z753" t="str">
        <f t="shared" si="11"/>
        <v>Normal</v>
      </c>
    </row>
    <row r="754" spans="1:26">
      <c r="A754" t="s">
        <v>1538</v>
      </c>
      <c r="B754">
        <v>57.48</v>
      </c>
      <c r="C754" t="s">
        <v>7</v>
      </c>
      <c r="D754">
        <v>1</v>
      </c>
      <c r="E754" t="s">
        <v>1539</v>
      </c>
      <c r="Z754" t="str">
        <f t="shared" si="11"/>
        <v>Normal</v>
      </c>
    </row>
    <row r="755" spans="1:26">
      <c r="A755" t="s">
        <v>1540</v>
      </c>
      <c r="B755">
        <v>43.45</v>
      </c>
      <c r="C755" t="s">
        <v>7</v>
      </c>
      <c r="D755">
        <v>3</v>
      </c>
      <c r="E755" t="s">
        <v>1541</v>
      </c>
      <c r="Z755" t="str">
        <f t="shared" si="11"/>
        <v>Normal</v>
      </c>
    </row>
    <row r="756" spans="1:26">
      <c r="A756" t="s">
        <v>1542</v>
      </c>
      <c r="B756">
        <v>22.13</v>
      </c>
      <c r="C756" t="s">
        <v>7</v>
      </c>
      <c r="D756">
        <v>4</v>
      </c>
      <c r="E756" t="s">
        <v>1543</v>
      </c>
      <c r="Z756" t="str">
        <f t="shared" si="11"/>
        <v>Normal</v>
      </c>
    </row>
    <row r="757" spans="1:26">
      <c r="A757" t="s">
        <v>1544</v>
      </c>
      <c r="B757">
        <v>13.03</v>
      </c>
      <c r="C757" t="s">
        <v>7</v>
      </c>
      <c r="D757">
        <v>4</v>
      </c>
      <c r="E757" t="s">
        <v>1545</v>
      </c>
      <c r="Z757" t="str">
        <f t="shared" si="11"/>
        <v>Normal</v>
      </c>
    </row>
    <row r="758" spans="1:26">
      <c r="A758" t="s">
        <v>1546</v>
      </c>
      <c r="B758">
        <v>57.35</v>
      </c>
      <c r="C758" t="s">
        <v>7</v>
      </c>
      <c r="D758">
        <v>5</v>
      </c>
      <c r="E758" t="s">
        <v>1547</v>
      </c>
      <c r="Z758" t="str">
        <f t="shared" si="11"/>
        <v>Normal</v>
      </c>
    </row>
    <row r="759" spans="1:26">
      <c r="A759" t="s">
        <v>1548</v>
      </c>
      <c r="B759">
        <v>44.29</v>
      </c>
      <c r="C759" t="s">
        <v>7</v>
      </c>
      <c r="D759">
        <v>1</v>
      </c>
      <c r="E759" t="s">
        <v>1549</v>
      </c>
      <c r="Z759" t="str">
        <f t="shared" si="11"/>
        <v>Normal</v>
      </c>
    </row>
    <row r="760" spans="1:26">
      <c r="A760" t="s">
        <v>1550</v>
      </c>
      <c r="B760">
        <v>52.25</v>
      </c>
      <c r="C760" t="s">
        <v>7</v>
      </c>
      <c r="D760">
        <v>4</v>
      </c>
      <c r="E760" t="s">
        <v>1551</v>
      </c>
      <c r="Z760" t="str">
        <f t="shared" si="11"/>
        <v>Normal</v>
      </c>
    </row>
    <row r="761" spans="1:26">
      <c r="A761" t="s">
        <v>1552</v>
      </c>
      <c r="B761">
        <v>26.33</v>
      </c>
      <c r="C761" t="s">
        <v>7</v>
      </c>
      <c r="D761">
        <v>5</v>
      </c>
      <c r="E761" t="s">
        <v>1553</v>
      </c>
      <c r="Z761" t="str">
        <f t="shared" si="11"/>
        <v>Normal</v>
      </c>
    </row>
    <row r="762" spans="1:26">
      <c r="A762" t="s">
        <v>1554</v>
      </c>
      <c r="B762">
        <v>22.96</v>
      </c>
      <c r="C762" t="s">
        <v>7</v>
      </c>
      <c r="D762">
        <v>2</v>
      </c>
      <c r="E762" t="s">
        <v>1555</v>
      </c>
      <c r="Z762" t="str">
        <f t="shared" si="11"/>
        <v>Normal</v>
      </c>
    </row>
    <row r="763" spans="1:26">
      <c r="A763" t="s">
        <v>1556</v>
      </c>
      <c r="B763">
        <v>19.21</v>
      </c>
      <c r="C763" t="s">
        <v>7</v>
      </c>
      <c r="D763">
        <v>1</v>
      </c>
      <c r="E763" t="s">
        <v>1557</v>
      </c>
      <c r="Z763" t="str">
        <f t="shared" si="11"/>
        <v>Normal</v>
      </c>
    </row>
    <row r="764" spans="1:26">
      <c r="A764" t="s">
        <v>1558</v>
      </c>
      <c r="B764">
        <v>26.78</v>
      </c>
      <c r="C764" t="s">
        <v>7</v>
      </c>
      <c r="D764">
        <v>4</v>
      </c>
      <c r="E764" t="s">
        <v>1559</v>
      </c>
      <c r="Z764" t="str">
        <f t="shared" si="11"/>
        <v>Normal</v>
      </c>
    </row>
    <row r="765" spans="1:26">
      <c r="A765" t="s">
        <v>1560</v>
      </c>
      <c r="B765">
        <v>41.32</v>
      </c>
      <c r="C765" t="s">
        <v>7</v>
      </c>
      <c r="D765">
        <v>5</v>
      </c>
      <c r="E765" t="s">
        <v>1561</v>
      </c>
      <c r="Z765" t="str">
        <f t="shared" si="11"/>
        <v>Normal</v>
      </c>
    </row>
    <row r="766" spans="1:26">
      <c r="A766" t="s">
        <v>1562</v>
      </c>
      <c r="B766">
        <v>24.55</v>
      </c>
      <c r="C766" t="s">
        <v>7</v>
      </c>
      <c r="D766">
        <v>1</v>
      </c>
      <c r="E766" t="s">
        <v>1563</v>
      </c>
      <c r="Z766" t="str">
        <f t="shared" si="11"/>
        <v>Normal</v>
      </c>
    </row>
    <row r="767" spans="1:26">
      <c r="A767" t="s">
        <v>1564</v>
      </c>
      <c r="B767">
        <v>16.260000000000002</v>
      </c>
      <c r="C767" t="s">
        <v>7</v>
      </c>
      <c r="D767">
        <v>2</v>
      </c>
      <c r="E767" t="s">
        <v>1565</v>
      </c>
      <c r="Z767" t="str">
        <f t="shared" si="11"/>
        <v>Normal</v>
      </c>
    </row>
    <row r="768" spans="1:26">
      <c r="A768" t="s">
        <v>1566</v>
      </c>
      <c r="B768">
        <v>47.84</v>
      </c>
      <c r="C768" t="s">
        <v>7</v>
      </c>
      <c r="D768">
        <v>1</v>
      </c>
      <c r="E768" t="s">
        <v>1567</v>
      </c>
      <c r="Z768" t="str">
        <f t="shared" si="11"/>
        <v>Normal</v>
      </c>
    </row>
    <row r="769" spans="1:26">
      <c r="A769" t="s">
        <v>1568</v>
      </c>
      <c r="B769">
        <v>53.49</v>
      </c>
      <c r="C769" t="s">
        <v>7</v>
      </c>
      <c r="D769">
        <v>2</v>
      </c>
      <c r="E769" t="s">
        <v>1569</v>
      </c>
      <c r="Z769" t="str">
        <f t="shared" si="11"/>
        <v>Normal</v>
      </c>
    </row>
    <row r="770" spans="1:26">
      <c r="A770" t="s">
        <v>1570</v>
      </c>
      <c r="B770">
        <v>44.84</v>
      </c>
      <c r="C770" t="s">
        <v>7</v>
      </c>
      <c r="D770">
        <v>5</v>
      </c>
      <c r="E770" t="s">
        <v>1571</v>
      </c>
      <c r="Z770" t="str">
        <f t="shared" si="11"/>
        <v>Normal</v>
      </c>
    </row>
    <row r="771" spans="1:26">
      <c r="A771" t="s">
        <v>1572</v>
      </c>
      <c r="B771">
        <v>53.71</v>
      </c>
      <c r="C771" t="s">
        <v>7</v>
      </c>
      <c r="D771">
        <v>5</v>
      </c>
      <c r="E771" t="s">
        <v>1573</v>
      </c>
      <c r="Z771" t="str">
        <f t="shared" si="11"/>
        <v>Normal</v>
      </c>
    </row>
    <row r="772" spans="1:26">
      <c r="A772" t="s">
        <v>1574</v>
      </c>
      <c r="B772">
        <v>23.43</v>
      </c>
      <c r="C772" t="s">
        <v>7</v>
      </c>
      <c r="D772">
        <v>2</v>
      </c>
      <c r="E772" t="s">
        <v>1575</v>
      </c>
      <c r="Z772" t="str">
        <f t="shared" si="11"/>
        <v>Normal</v>
      </c>
    </row>
    <row r="773" spans="1:26">
      <c r="A773" t="s">
        <v>1576</v>
      </c>
      <c r="B773">
        <v>34.32</v>
      </c>
      <c r="C773" t="s">
        <v>7</v>
      </c>
      <c r="D773">
        <v>3</v>
      </c>
      <c r="E773" t="s">
        <v>1577</v>
      </c>
      <c r="Z773" t="str">
        <f t="shared" si="11"/>
        <v>Normal</v>
      </c>
    </row>
    <row r="774" spans="1:26">
      <c r="A774" t="s">
        <v>1578</v>
      </c>
      <c r="B774">
        <v>22.1</v>
      </c>
      <c r="C774" t="s">
        <v>7</v>
      </c>
      <c r="D774">
        <v>1</v>
      </c>
      <c r="E774" t="s">
        <v>1579</v>
      </c>
      <c r="Z774" t="str">
        <f t="shared" si="11"/>
        <v>Normal</v>
      </c>
    </row>
    <row r="775" spans="1:26">
      <c r="A775" t="s">
        <v>1580</v>
      </c>
      <c r="B775">
        <v>25.83</v>
      </c>
      <c r="C775" t="s">
        <v>7</v>
      </c>
      <c r="D775">
        <v>2</v>
      </c>
      <c r="E775" t="s">
        <v>1581</v>
      </c>
      <c r="Z775" t="str">
        <f t="shared" si="11"/>
        <v>Normal</v>
      </c>
    </row>
    <row r="776" spans="1:26">
      <c r="A776" t="s">
        <v>1582</v>
      </c>
      <c r="B776">
        <v>36.74</v>
      </c>
      <c r="C776" t="s">
        <v>7</v>
      </c>
      <c r="D776">
        <v>3</v>
      </c>
      <c r="E776" t="s">
        <v>1583</v>
      </c>
      <c r="Z776" t="str">
        <f t="shared" ref="Z776:Z839" si="12">IF(OR(B776&lt;$U$13, B776&gt;$U$14),"Outlier","Normal")</f>
        <v>Normal</v>
      </c>
    </row>
    <row r="777" spans="1:26">
      <c r="A777" t="s">
        <v>1584</v>
      </c>
      <c r="B777">
        <v>49.51</v>
      </c>
      <c r="C777" t="s">
        <v>7</v>
      </c>
      <c r="D777">
        <v>1</v>
      </c>
      <c r="E777" t="s">
        <v>1585</v>
      </c>
      <c r="Z777" t="str">
        <f t="shared" si="12"/>
        <v>Normal</v>
      </c>
    </row>
    <row r="778" spans="1:26">
      <c r="A778" t="s">
        <v>1586</v>
      </c>
      <c r="B778">
        <v>48.96</v>
      </c>
      <c r="C778" t="s">
        <v>7</v>
      </c>
      <c r="D778">
        <v>5</v>
      </c>
      <c r="E778" t="s">
        <v>1587</v>
      </c>
      <c r="Z778" t="str">
        <f t="shared" si="12"/>
        <v>Normal</v>
      </c>
    </row>
    <row r="779" spans="1:26">
      <c r="A779" t="s">
        <v>1588</v>
      </c>
      <c r="B779">
        <v>54.62</v>
      </c>
      <c r="C779" t="s">
        <v>7</v>
      </c>
      <c r="D779">
        <v>1</v>
      </c>
      <c r="E779" t="s">
        <v>1589</v>
      </c>
      <c r="Z779" t="str">
        <f t="shared" si="12"/>
        <v>Normal</v>
      </c>
    </row>
    <row r="780" spans="1:26">
      <c r="A780" t="s">
        <v>1590</v>
      </c>
      <c r="B780">
        <v>24.72</v>
      </c>
      <c r="C780" t="s">
        <v>7</v>
      </c>
      <c r="D780">
        <v>2</v>
      </c>
      <c r="E780" t="s">
        <v>1591</v>
      </c>
      <c r="Z780" t="str">
        <f t="shared" si="12"/>
        <v>Normal</v>
      </c>
    </row>
    <row r="781" spans="1:26">
      <c r="A781" t="s">
        <v>1592</v>
      </c>
      <c r="B781">
        <v>46.45</v>
      </c>
      <c r="C781" t="s">
        <v>7</v>
      </c>
      <c r="D781">
        <v>2</v>
      </c>
      <c r="E781" t="s">
        <v>1593</v>
      </c>
      <c r="Z781" t="str">
        <f t="shared" si="12"/>
        <v>Normal</v>
      </c>
    </row>
    <row r="782" spans="1:26">
      <c r="A782" t="s">
        <v>1594</v>
      </c>
      <c r="B782">
        <v>52.33</v>
      </c>
      <c r="C782" t="s">
        <v>7</v>
      </c>
      <c r="D782">
        <v>2</v>
      </c>
      <c r="E782" t="s">
        <v>1595</v>
      </c>
      <c r="Z782" t="str">
        <f t="shared" si="12"/>
        <v>Normal</v>
      </c>
    </row>
    <row r="783" spans="1:26">
      <c r="A783" t="s">
        <v>1596</v>
      </c>
      <c r="B783">
        <v>30.6</v>
      </c>
      <c r="C783" t="s">
        <v>7</v>
      </c>
      <c r="D783">
        <v>4</v>
      </c>
      <c r="E783" t="s">
        <v>1597</v>
      </c>
      <c r="Z783" t="str">
        <f t="shared" si="12"/>
        <v>Normal</v>
      </c>
    </row>
    <row r="784" spans="1:26">
      <c r="A784" t="s">
        <v>1598</v>
      </c>
      <c r="B784">
        <v>14.57</v>
      </c>
      <c r="C784" t="s">
        <v>7</v>
      </c>
      <c r="D784">
        <v>4</v>
      </c>
      <c r="E784" t="s">
        <v>1599</v>
      </c>
      <c r="Z784" t="str">
        <f t="shared" si="12"/>
        <v>Normal</v>
      </c>
    </row>
    <row r="785" spans="1:26">
      <c r="A785" t="s">
        <v>1600</v>
      </c>
      <c r="B785">
        <v>46.29</v>
      </c>
      <c r="C785" t="s">
        <v>7</v>
      </c>
      <c r="D785">
        <v>1</v>
      </c>
      <c r="E785" t="s">
        <v>1601</v>
      </c>
      <c r="Z785" t="str">
        <f t="shared" si="12"/>
        <v>Normal</v>
      </c>
    </row>
    <row r="786" spans="1:26">
      <c r="A786" t="s">
        <v>1602</v>
      </c>
      <c r="B786">
        <v>21.57</v>
      </c>
      <c r="C786" t="s">
        <v>7</v>
      </c>
      <c r="D786">
        <v>5</v>
      </c>
      <c r="E786" t="s">
        <v>1603</v>
      </c>
      <c r="Z786" t="str">
        <f t="shared" si="12"/>
        <v>Normal</v>
      </c>
    </row>
    <row r="787" spans="1:26">
      <c r="A787" t="s">
        <v>1604</v>
      </c>
      <c r="B787">
        <v>12.91</v>
      </c>
      <c r="C787" t="s">
        <v>7</v>
      </c>
      <c r="D787">
        <v>4</v>
      </c>
      <c r="E787" t="s">
        <v>1605</v>
      </c>
      <c r="Z787" t="str">
        <f t="shared" si="12"/>
        <v>Normal</v>
      </c>
    </row>
    <row r="788" spans="1:26">
      <c r="A788" t="s">
        <v>1606</v>
      </c>
      <c r="B788">
        <v>50.11</v>
      </c>
      <c r="C788" t="s">
        <v>7</v>
      </c>
      <c r="D788">
        <v>3</v>
      </c>
      <c r="E788" t="s">
        <v>1607</v>
      </c>
      <c r="Z788" t="str">
        <f t="shared" si="12"/>
        <v>Normal</v>
      </c>
    </row>
    <row r="789" spans="1:26">
      <c r="A789" t="s">
        <v>1608</v>
      </c>
      <c r="B789">
        <v>41.67</v>
      </c>
      <c r="C789" t="s">
        <v>7</v>
      </c>
      <c r="D789">
        <v>4</v>
      </c>
      <c r="E789" t="s">
        <v>1609</v>
      </c>
      <c r="Z789" t="str">
        <f t="shared" si="12"/>
        <v>Normal</v>
      </c>
    </row>
    <row r="790" spans="1:26">
      <c r="A790" t="s">
        <v>1610</v>
      </c>
      <c r="B790">
        <v>44.88</v>
      </c>
      <c r="C790" t="s">
        <v>7</v>
      </c>
      <c r="D790">
        <v>2</v>
      </c>
      <c r="E790" t="s">
        <v>1611</v>
      </c>
      <c r="Z790" t="str">
        <f t="shared" si="12"/>
        <v>Normal</v>
      </c>
    </row>
    <row r="791" spans="1:26">
      <c r="A791" t="s">
        <v>1612</v>
      </c>
      <c r="B791">
        <v>11.1</v>
      </c>
      <c r="C791" t="s">
        <v>7</v>
      </c>
      <c r="D791">
        <v>3</v>
      </c>
      <c r="E791" t="s">
        <v>1613</v>
      </c>
      <c r="Z791" t="str">
        <f t="shared" si="12"/>
        <v>Normal</v>
      </c>
    </row>
    <row r="792" spans="1:26">
      <c r="A792" t="s">
        <v>1614</v>
      </c>
      <c r="B792">
        <v>28.54</v>
      </c>
      <c r="C792" t="s">
        <v>7</v>
      </c>
      <c r="D792">
        <v>3</v>
      </c>
      <c r="E792" t="s">
        <v>1615</v>
      </c>
      <c r="Z792" t="str">
        <f t="shared" si="12"/>
        <v>Normal</v>
      </c>
    </row>
    <row r="793" spans="1:26">
      <c r="A793" t="s">
        <v>1616</v>
      </c>
      <c r="B793">
        <v>19.07</v>
      </c>
      <c r="C793" t="s">
        <v>7</v>
      </c>
      <c r="D793">
        <v>4</v>
      </c>
      <c r="E793" t="s">
        <v>1617</v>
      </c>
      <c r="Z793" t="str">
        <f t="shared" si="12"/>
        <v>Normal</v>
      </c>
    </row>
    <row r="794" spans="1:26">
      <c r="A794" t="s">
        <v>1618</v>
      </c>
      <c r="B794">
        <v>43.55</v>
      </c>
      <c r="C794" t="s">
        <v>7</v>
      </c>
      <c r="D794">
        <v>1</v>
      </c>
      <c r="E794" t="s">
        <v>1619</v>
      </c>
      <c r="Z794" t="str">
        <f t="shared" si="12"/>
        <v>Normal</v>
      </c>
    </row>
    <row r="795" spans="1:26">
      <c r="A795" t="s">
        <v>1620</v>
      </c>
      <c r="B795">
        <v>43.63</v>
      </c>
      <c r="C795" t="s">
        <v>7</v>
      </c>
      <c r="D795">
        <v>3</v>
      </c>
      <c r="E795" t="s">
        <v>1621</v>
      </c>
      <c r="Z795" t="str">
        <f t="shared" si="12"/>
        <v>Normal</v>
      </c>
    </row>
    <row r="796" spans="1:26">
      <c r="A796" t="s">
        <v>1622</v>
      </c>
      <c r="B796">
        <v>39.130000000000003</v>
      </c>
      <c r="C796" t="s">
        <v>7</v>
      </c>
      <c r="D796">
        <v>1</v>
      </c>
      <c r="E796" t="s">
        <v>1623</v>
      </c>
      <c r="Z796" t="str">
        <f t="shared" si="12"/>
        <v>Normal</v>
      </c>
    </row>
    <row r="797" spans="1:26">
      <c r="A797" t="s">
        <v>1624</v>
      </c>
      <c r="B797">
        <v>56.68</v>
      </c>
      <c r="C797" t="s">
        <v>7</v>
      </c>
      <c r="D797">
        <v>2</v>
      </c>
      <c r="E797" t="s">
        <v>1625</v>
      </c>
      <c r="Z797" t="str">
        <f t="shared" si="12"/>
        <v>Normal</v>
      </c>
    </row>
    <row r="798" spans="1:26">
      <c r="A798" t="s">
        <v>1626</v>
      </c>
      <c r="B798">
        <v>14.16</v>
      </c>
      <c r="C798" t="s">
        <v>7</v>
      </c>
      <c r="D798">
        <v>1</v>
      </c>
      <c r="E798" t="s">
        <v>1627</v>
      </c>
      <c r="Z798" t="str">
        <f t="shared" si="12"/>
        <v>Normal</v>
      </c>
    </row>
    <row r="799" spans="1:26">
      <c r="A799" t="s">
        <v>1628</v>
      </c>
      <c r="B799">
        <v>31.45</v>
      </c>
      <c r="C799" t="s">
        <v>7</v>
      </c>
      <c r="D799">
        <v>3</v>
      </c>
      <c r="E799" t="s">
        <v>1629</v>
      </c>
      <c r="Z799" t="str">
        <f t="shared" si="12"/>
        <v>Normal</v>
      </c>
    </row>
    <row r="800" spans="1:26">
      <c r="A800" t="s">
        <v>1630</v>
      </c>
      <c r="B800">
        <v>24.61</v>
      </c>
      <c r="C800" t="s">
        <v>7</v>
      </c>
      <c r="D800">
        <v>2</v>
      </c>
      <c r="E800" t="s">
        <v>1631</v>
      </c>
      <c r="Z800" t="str">
        <f t="shared" si="12"/>
        <v>Normal</v>
      </c>
    </row>
    <row r="801" spans="1:26">
      <c r="A801" t="s">
        <v>1632</v>
      </c>
      <c r="B801">
        <v>32.869999999999997</v>
      </c>
      <c r="C801" t="s">
        <v>7</v>
      </c>
      <c r="D801">
        <v>2</v>
      </c>
      <c r="E801" t="s">
        <v>1633</v>
      </c>
      <c r="Z801" t="str">
        <f t="shared" si="12"/>
        <v>Normal</v>
      </c>
    </row>
    <row r="802" spans="1:26">
      <c r="A802" t="s">
        <v>1634</v>
      </c>
      <c r="B802">
        <v>40.17</v>
      </c>
      <c r="C802" t="s">
        <v>7</v>
      </c>
      <c r="D802">
        <v>1</v>
      </c>
      <c r="E802" t="s">
        <v>1635</v>
      </c>
      <c r="Z802" t="str">
        <f t="shared" si="12"/>
        <v>Normal</v>
      </c>
    </row>
    <row r="803" spans="1:26">
      <c r="A803" t="s">
        <v>1636</v>
      </c>
      <c r="B803">
        <v>13.51</v>
      </c>
      <c r="C803" t="s">
        <v>7</v>
      </c>
      <c r="D803">
        <v>1</v>
      </c>
      <c r="E803" t="s">
        <v>1637</v>
      </c>
      <c r="Z803" t="str">
        <f t="shared" si="12"/>
        <v>Normal</v>
      </c>
    </row>
    <row r="804" spans="1:26">
      <c r="A804" t="s">
        <v>1638</v>
      </c>
      <c r="B804">
        <v>38.950000000000003</v>
      </c>
      <c r="C804" t="s">
        <v>7</v>
      </c>
      <c r="D804">
        <v>3</v>
      </c>
      <c r="E804" t="s">
        <v>1639</v>
      </c>
      <c r="Z804" t="str">
        <f t="shared" si="12"/>
        <v>Normal</v>
      </c>
    </row>
    <row r="805" spans="1:26">
      <c r="A805" t="s">
        <v>1640</v>
      </c>
      <c r="B805">
        <v>31.69</v>
      </c>
      <c r="C805" t="s">
        <v>7</v>
      </c>
      <c r="D805">
        <v>3</v>
      </c>
      <c r="E805" t="s">
        <v>1641</v>
      </c>
      <c r="Z805" t="str">
        <f t="shared" si="12"/>
        <v>Normal</v>
      </c>
    </row>
    <row r="806" spans="1:26">
      <c r="A806" t="s">
        <v>1642</v>
      </c>
      <c r="B806">
        <v>29.4</v>
      </c>
      <c r="C806" t="s">
        <v>7</v>
      </c>
      <c r="D806">
        <v>1</v>
      </c>
      <c r="E806" t="s">
        <v>1643</v>
      </c>
      <c r="Z806" t="str">
        <f t="shared" si="12"/>
        <v>Normal</v>
      </c>
    </row>
    <row r="807" spans="1:26">
      <c r="A807" t="s">
        <v>1644</v>
      </c>
      <c r="B807">
        <v>57.83</v>
      </c>
      <c r="C807" t="s">
        <v>7</v>
      </c>
      <c r="D807">
        <v>1</v>
      </c>
      <c r="E807" t="s">
        <v>1645</v>
      </c>
      <c r="Z807" t="str">
        <f t="shared" si="12"/>
        <v>Normal</v>
      </c>
    </row>
    <row r="808" spans="1:26">
      <c r="A808" t="s">
        <v>1646</v>
      </c>
      <c r="B808">
        <v>55.46</v>
      </c>
      <c r="C808" t="s">
        <v>7</v>
      </c>
      <c r="D808">
        <v>2</v>
      </c>
      <c r="E808" t="s">
        <v>1647</v>
      </c>
      <c r="Z808" t="str">
        <f t="shared" si="12"/>
        <v>Normal</v>
      </c>
    </row>
    <row r="809" spans="1:26">
      <c r="A809" t="s">
        <v>1648</v>
      </c>
      <c r="B809">
        <v>57.6</v>
      </c>
      <c r="C809" t="s">
        <v>7</v>
      </c>
      <c r="D809">
        <v>2</v>
      </c>
      <c r="E809" t="s">
        <v>1649</v>
      </c>
      <c r="Z809" t="str">
        <f t="shared" si="12"/>
        <v>Normal</v>
      </c>
    </row>
    <row r="810" spans="1:26">
      <c r="A810" t="s">
        <v>1650</v>
      </c>
      <c r="B810">
        <v>34.979999999999997</v>
      </c>
      <c r="C810" t="s">
        <v>7</v>
      </c>
      <c r="D810">
        <v>2</v>
      </c>
      <c r="E810" t="s">
        <v>1651</v>
      </c>
      <c r="Z810" t="str">
        <f t="shared" si="12"/>
        <v>Normal</v>
      </c>
    </row>
    <row r="811" spans="1:26">
      <c r="A811" t="s">
        <v>1652</v>
      </c>
      <c r="B811">
        <v>11.87</v>
      </c>
      <c r="C811" t="s">
        <v>7</v>
      </c>
      <c r="D811">
        <v>2</v>
      </c>
      <c r="E811" t="s">
        <v>1653</v>
      </c>
      <c r="Z811" t="str">
        <f t="shared" si="12"/>
        <v>Normal</v>
      </c>
    </row>
    <row r="812" spans="1:26">
      <c r="A812" t="s">
        <v>1654</v>
      </c>
      <c r="B812">
        <v>12.47</v>
      </c>
      <c r="C812" t="s">
        <v>7</v>
      </c>
      <c r="D812">
        <v>3</v>
      </c>
      <c r="E812" t="s">
        <v>1655</v>
      </c>
      <c r="Z812" t="str">
        <f t="shared" si="12"/>
        <v>Normal</v>
      </c>
    </row>
    <row r="813" spans="1:26">
      <c r="A813" t="s">
        <v>1656</v>
      </c>
      <c r="B813">
        <v>33.26</v>
      </c>
      <c r="C813" t="s">
        <v>7</v>
      </c>
      <c r="D813">
        <v>2</v>
      </c>
      <c r="E813" t="s">
        <v>1657</v>
      </c>
      <c r="Z813" t="str">
        <f t="shared" si="12"/>
        <v>Normal</v>
      </c>
    </row>
    <row r="814" spans="1:26">
      <c r="A814" t="s">
        <v>1658</v>
      </c>
      <c r="B814">
        <v>59.04</v>
      </c>
      <c r="C814" t="s">
        <v>7</v>
      </c>
      <c r="D814">
        <v>5</v>
      </c>
      <c r="E814" t="s">
        <v>1659</v>
      </c>
      <c r="Z814" t="str">
        <f t="shared" si="12"/>
        <v>Normal</v>
      </c>
    </row>
    <row r="815" spans="1:26">
      <c r="A815" t="s">
        <v>1660</v>
      </c>
      <c r="B815">
        <v>26.13</v>
      </c>
      <c r="C815" t="s">
        <v>7</v>
      </c>
      <c r="D815">
        <v>2</v>
      </c>
      <c r="E815" t="s">
        <v>1661</v>
      </c>
      <c r="Z815" t="str">
        <f t="shared" si="12"/>
        <v>Normal</v>
      </c>
    </row>
    <row r="816" spans="1:26">
      <c r="A816" t="s">
        <v>1662</v>
      </c>
      <c r="B816">
        <v>22.2</v>
      </c>
      <c r="C816" t="s">
        <v>7</v>
      </c>
      <c r="D816">
        <v>1</v>
      </c>
      <c r="E816" t="s">
        <v>1663</v>
      </c>
      <c r="Z816" t="str">
        <f t="shared" si="12"/>
        <v>Normal</v>
      </c>
    </row>
    <row r="817" spans="1:26">
      <c r="A817" t="s">
        <v>1664</v>
      </c>
      <c r="B817">
        <v>45.11</v>
      </c>
      <c r="C817" t="s">
        <v>7</v>
      </c>
      <c r="D817">
        <v>1</v>
      </c>
      <c r="E817" t="s">
        <v>1665</v>
      </c>
      <c r="Z817" t="str">
        <f t="shared" si="12"/>
        <v>Normal</v>
      </c>
    </row>
    <row r="818" spans="1:26">
      <c r="A818" t="s">
        <v>1666</v>
      </c>
      <c r="B818">
        <v>43.69</v>
      </c>
      <c r="C818" t="s">
        <v>7</v>
      </c>
      <c r="D818">
        <v>4</v>
      </c>
      <c r="E818" t="s">
        <v>1667</v>
      </c>
      <c r="Z818" t="str">
        <f t="shared" si="12"/>
        <v>Normal</v>
      </c>
    </row>
    <row r="819" spans="1:26">
      <c r="A819" t="s">
        <v>1668</v>
      </c>
      <c r="B819">
        <v>25.02</v>
      </c>
      <c r="C819" t="s">
        <v>7</v>
      </c>
      <c r="D819">
        <v>1</v>
      </c>
      <c r="E819" t="s">
        <v>1669</v>
      </c>
      <c r="Z819" t="str">
        <f t="shared" si="12"/>
        <v>Normal</v>
      </c>
    </row>
    <row r="820" spans="1:26">
      <c r="A820" t="s">
        <v>1670</v>
      </c>
      <c r="B820">
        <v>55.5</v>
      </c>
      <c r="C820" t="s">
        <v>7</v>
      </c>
      <c r="D820">
        <v>5</v>
      </c>
      <c r="E820" t="s">
        <v>1671</v>
      </c>
      <c r="Z820" t="str">
        <f t="shared" si="12"/>
        <v>Normal</v>
      </c>
    </row>
    <row r="821" spans="1:26">
      <c r="A821" t="s">
        <v>1672</v>
      </c>
      <c r="B821">
        <v>53.04</v>
      </c>
      <c r="C821" t="s">
        <v>7</v>
      </c>
      <c r="D821">
        <v>5</v>
      </c>
      <c r="E821" t="s">
        <v>1673</v>
      </c>
      <c r="Z821" t="str">
        <f t="shared" si="12"/>
        <v>Normal</v>
      </c>
    </row>
    <row r="822" spans="1:26">
      <c r="A822" t="s">
        <v>1674</v>
      </c>
      <c r="B822">
        <v>44.97</v>
      </c>
      <c r="C822" t="s">
        <v>7</v>
      </c>
      <c r="D822">
        <v>1</v>
      </c>
      <c r="E822" t="s">
        <v>1675</v>
      </c>
      <c r="Z822" t="str">
        <f t="shared" si="12"/>
        <v>Normal</v>
      </c>
    </row>
    <row r="823" spans="1:26">
      <c r="A823" t="s">
        <v>1676</v>
      </c>
      <c r="B823">
        <v>42.38</v>
      </c>
      <c r="C823" t="s">
        <v>7</v>
      </c>
      <c r="D823">
        <v>1</v>
      </c>
      <c r="E823" t="s">
        <v>1677</v>
      </c>
      <c r="Z823" t="str">
        <f t="shared" si="12"/>
        <v>Normal</v>
      </c>
    </row>
    <row r="824" spans="1:26">
      <c r="A824" t="s">
        <v>1678</v>
      </c>
      <c r="B824">
        <v>20.11</v>
      </c>
      <c r="C824" t="s">
        <v>7</v>
      </c>
      <c r="D824">
        <v>3</v>
      </c>
      <c r="E824" t="s">
        <v>1679</v>
      </c>
      <c r="Z824" t="str">
        <f t="shared" si="12"/>
        <v>Normal</v>
      </c>
    </row>
    <row r="825" spans="1:26">
      <c r="A825" t="s">
        <v>1680</v>
      </c>
      <c r="B825">
        <v>56.7</v>
      </c>
      <c r="C825" t="s">
        <v>7</v>
      </c>
      <c r="D825">
        <v>5</v>
      </c>
      <c r="E825" t="s">
        <v>1681</v>
      </c>
      <c r="Z825" t="str">
        <f t="shared" si="12"/>
        <v>Normal</v>
      </c>
    </row>
    <row r="826" spans="1:26">
      <c r="A826" t="s">
        <v>1682</v>
      </c>
      <c r="B826">
        <v>41</v>
      </c>
      <c r="C826" t="s">
        <v>7</v>
      </c>
      <c r="D826">
        <v>5</v>
      </c>
      <c r="E826" t="s">
        <v>1683</v>
      </c>
      <c r="Z826" t="str">
        <f t="shared" si="12"/>
        <v>Normal</v>
      </c>
    </row>
    <row r="827" spans="1:26">
      <c r="A827" t="s">
        <v>1684</v>
      </c>
      <c r="B827">
        <v>28.85</v>
      </c>
      <c r="C827" t="s">
        <v>7</v>
      </c>
      <c r="D827">
        <v>3</v>
      </c>
      <c r="E827" t="s">
        <v>1685</v>
      </c>
      <c r="Z827" t="str">
        <f t="shared" si="12"/>
        <v>Normal</v>
      </c>
    </row>
    <row r="828" spans="1:26">
      <c r="A828" t="s">
        <v>1686</v>
      </c>
      <c r="B828">
        <v>49.97</v>
      </c>
      <c r="C828" t="s">
        <v>7</v>
      </c>
      <c r="D828">
        <v>4</v>
      </c>
      <c r="E828" t="s">
        <v>1687</v>
      </c>
      <c r="Z828" t="str">
        <f t="shared" si="12"/>
        <v>Normal</v>
      </c>
    </row>
    <row r="829" spans="1:26">
      <c r="A829" t="s">
        <v>1688</v>
      </c>
      <c r="B829">
        <v>19.690000000000001</v>
      </c>
      <c r="C829" t="s">
        <v>7</v>
      </c>
      <c r="D829">
        <v>1</v>
      </c>
      <c r="E829" t="s">
        <v>1689</v>
      </c>
      <c r="Z829" t="str">
        <f t="shared" si="12"/>
        <v>Normal</v>
      </c>
    </row>
    <row r="830" spans="1:26">
      <c r="A830" t="s">
        <v>1690</v>
      </c>
      <c r="B830">
        <v>28.88</v>
      </c>
      <c r="C830" t="s">
        <v>7</v>
      </c>
      <c r="D830">
        <v>2</v>
      </c>
      <c r="E830" t="s">
        <v>1691</v>
      </c>
      <c r="Z830" t="str">
        <f t="shared" si="12"/>
        <v>Normal</v>
      </c>
    </row>
    <row r="831" spans="1:26">
      <c r="A831" t="s">
        <v>1692</v>
      </c>
      <c r="B831">
        <v>33.14</v>
      </c>
      <c r="C831" t="s">
        <v>7</v>
      </c>
      <c r="D831">
        <v>3</v>
      </c>
      <c r="E831" t="s">
        <v>1693</v>
      </c>
      <c r="Z831" t="str">
        <f t="shared" si="12"/>
        <v>Normal</v>
      </c>
    </row>
    <row r="832" spans="1:26">
      <c r="A832" t="s">
        <v>1694</v>
      </c>
      <c r="B832">
        <v>43.7</v>
      </c>
      <c r="C832" t="s">
        <v>7</v>
      </c>
      <c r="D832">
        <v>2</v>
      </c>
      <c r="E832" t="s">
        <v>1695</v>
      </c>
      <c r="Z832" t="str">
        <f t="shared" si="12"/>
        <v>Normal</v>
      </c>
    </row>
    <row r="833" spans="1:26">
      <c r="A833" t="s">
        <v>1696</v>
      </c>
      <c r="B833">
        <v>54.89</v>
      </c>
      <c r="C833" t="s">
        <v>7</v>
      </c>
      <c r="D833">
        <v>1</v>
      </c>
      <c r="E833" t="s">
        <v>1697</v>
      </c>
      <c r="Z833" t="str">
        <f t="shared" si="12"/>
        <v>Normal</v>
      </c>
    </row>
    <row r="834" spans="1:26">
      <c r="A834" t="s">
        <v>1698</v>
      </c>
      <c r="B834">
        <v>37.520000000000003</v>
      </c>
      <c r="C834" t="s">
        <v>7</v>
      </c>
      <c r="D834">
        <v>2</v>
      </c>
      <c r="E834" t="s">
        <v>1699</v>
      </c>
      <c r="Z834" t="str">
        <f t="shared" si="12"/>
        <v>Normal</v>
      </c>
    </row>
    <row r="835" spans="1:26">
      <c r="A835" t="s">
        <v>1700</v>
      </c>
      <c r="B835">
        <v>51.07</v>
      </c>
      <c r="C835" t="s">
        <v>7</v>
      </c>
      <c r="D835">
        <v>2</v>
      </c>
      <c r="E835" t="s">
        <v>1701</v>
      </c>
      <c r="Z835" t="str">
        <f t="shared" si="12"/>
        <v>Normal</v>
      </c>
    </row>
    <row r="836" spans="1:26">
      <c r="A836" t="s">
        <v>1702</v>
      </c>
      <c r="B836">
        <v>44.07</v>
      </c>
      <c r="C836" t="s">
        <v>7</v>
      </c>
      <c r="D836">
        <v>4</v>
      </c>
      <c r="E836" t="s">
        <v>1703</v>
      </c>
      <c r="Z836" t="str">
        <f t="shared" si="12"/>
        <v>Normal</v>
      </c>
    </row>
    <row r="837" spans="1:26">
      <c r="A837" t="s">
        <v>1704</v>
      </c>
      <c r="B837">
        <v>10.79</v>
      </c>
      <c r="C837" t="s">
        <v>7</v>
      </c>
      <c r="D837">
        <v>4</v>
      </c>
      <c r="E837" t="s">
        <v>1705</v>
      </c>
      <c r="Z837" t="str">
        <f t="shared" si="12"/>
        <v>Normal</v>
      </c>
    </row>
    <row r="838" spans="1:26">
      <c r="A838" t="s">
        <v>1706</v>
      </c>
      <c r="B838">
        <v>42.72</v>
      </c>
      <c r="C838" t="s">
        <v>7</v>
      </c>
      <c r="D838">
        <v>1</v>
      </c>
      <c r="E838" t="s">
        <v>1707</v>
      </c>
      <c r="Z838" t="str">
        <f t="shared" si="12"/>
        <v>Normal</v>
      </c>
    </row>
    <row r="839" spans="1:26">
      <c r="A839" t="s">
        <v>1708</v>
      </c>
      <c r="B839">
        <v>26.66</v>
      </c>
      <c r="C839" t="s">
        <v>7</v>
      </c>
      <c r="D839">
        <v>5</v>
      </c>
      <c r="E839" t="s">
        <v>1709</v>
      </c>
      <c r="Z839" t="str">
        <f t="shared" si="12"/>
        <v>Normal</v>
      </c>
    </row>
    <row r="840" spans="1:26">
      <c r="A840" t="s">
        <v>1710</v>
      </c>
      <c r="B840">
        <v>37.6</v>
      </c>
      <c r="C840" t="s">
        <v>7</v>
      </c>
      <c r="D840">
        <v>5</v>
      </c>
      <c r="E840" t="s">
        <v>1711</v>
      </c>
      <c r="Z840" t="str">
        <f t="shared" ref="Z840:Z903" si="13">IF(OR(B840&lt;$U$13, B840&gt;$U$14),"Outlier","Normal")</f>
        <v>Normal</v>
      </c>
    </row>
    <row r="841" spans="1:26">
      <c r="A841" t="s">
        <v>1712</v>
      </c>
      <c r="B841">
        <v>42.21</v>
      </c>
      <c r="C841" t="s">
        <v>7</v>
      </c>
      <c r="D841">
        <v>4</v>
      </c>
      <c r="E841" t="s">
        <v>1713</v>
      </c>
      <c r="Z841" t="str">
        <f t="shared" si="13"/>
        <v>Normal</v>
      </c>
    </row>
    <row r="842" spans="1:26">
      <c r="A842" t="s">
        <v>1714</v>
      </c>
      <c r="B842">
        <v>46.83</v>
      </c>
      <c r="C842" t="s">
        <v>7</v>
      </c>
      <c r="D842">
        <v>2</v>
      </c>
      <c r="E842" t="s">
        <v>1715</v>
      </c>
      <c r="Z842" t="str">
        <f t="shared" si="13"/>
        <v>Normal</v>
      </c>
    </row>
    <row r="843" spans="1:26">
      <c r="A843" t="s">
        <v>1716</v>
      </c>
      <c r="B843">
        <v>45.17</v>
      </c>
      <c r="C843" t="s">
        <v>7</v>
      </c>
      <c r="D843">
        <v>2</v>
      </c>
      <c r="E843" t="s">
        <v>1717</v>
      </c>
      <c r="Z843" t="str">
        <f t="shared" si="13"/>
        <v>Normal</v>
      </c>
    </row>
    <row r="844" spans="1:26">
      <c r="A844" t="s">
        <v>1718</v>
      </c>
      <c r="B844">
        <v>51.22</v>
      </c>
      <c r="C844" t="s">
        <v>7</v>
      </c>
      <c r="D844">
        <v>3</v>
      </c>
      <c r="E844" t="s">
        <v>1719</v>
      </c>
      <c r="Z844" t="str">
        <f t="shared" si="13"/>
        <v>Normal</v>
      </c>
    </row>
    <row r="845" spans="1:26">
      <c r="A845" t="s">
        <v>1720</v>
      </c>
      <c r="B845">
        <v>21.28</v>
      </c>
      <c r="C845" t="s">
        <v>7</v>
      </c>
      <c r="D845">
        <v>4</v>
      </c>
      <c r="E845" t="s">
        <v>1721</v>
      </c>
      <c r="Z845" t="str">
        <f t="shared" si="13"/>
        <v>Normal</v>
      </c>
    </row>
    <row r="846" spans="1:26">
      <c r="A846" t="s">
        <v>1722</v>
      </c>
      <c r="B846">
        <v>15.36</v>
      </c>
      <c r="C846" t="s">
        <v>7</v>
      </c>
      <c r="D846">
        <v>5</v>
      </c>
      <c r="E846" t="s">
        <v>1723</v>
      </c>
      <c r="Z846" t="str">
        <f t="shared" si="13"/>
        <v>Normal</v>
      </c>
    </row>
    <row r="847" spans="1:26">
      <c r="A847" t="s">
        <v>1724</v>
      </c>
      <c r="B847">
        <v>38.619999999999997</v>
      </c>
      <c r="C847" t="s">
        <v>7</v>
      </c>
      <c r="D847">
        <v>1</v>
      </c>
      <c r="E847" t="s">
        <v>1725</v>
      </c>
      <c r="Z847" t="str">
        <f t="shared" si="13"/>
        <v>Normal</v>
      </c>
    </row>
    <row r="848" spans="1:26">
      <c r="A848" t="s">
        <v>1726</v>
      </c>
      <c r="B848">
        <v>25.4</v>
      </c>
      <c r="C848" t="s">
        <v>7</v>
      </c>
      <c r="D848">
        <v>3</v>
      </c>
      <c r="E848" t="s">
        <v>1727</v>
      </c>
      <c r="Z848" t="str">
        <f t="shared" si="13"/>
        <v>Normal</v>
      </c>
    </row>
    <row r="849" spans="1:26">
      <c r="A849" t="s">
        <v>1728</v>
      </c>
      <c r="B849">
        <v>43.87</v>
      </c>
      <c r="C849" t="s">
        <v>7</v>
      </c>
      <c r="D849">
        <v>3</v>
      </c>
      <c r="E849" t="s">
        <v>1729</v>
      </c>
      <c r="Z849" t="str">
        <f t="shared" si="13"/>
        <v>Normal</v>
      </c>
    </row>
    <row r="850" spans="1:26">
      <c r="A850" t="s">
        <v>1730</v>
      </c>
      <c r="B850">
        <v>18.739999999999998</v>
      </c>
      <c r="C850" t="s">
        <v>7</v>
      </c>
      <c r="D850">
        <v>1</v>
      </c>
      <c r="E850" t="s">
        <v>1731</v>
      </c>
      <c r="Z850" t="str">
        <f t="shared" si="13"/>
        <v>Normal</v>
      </c>
    </row>
    <row r="851" spans="1:26">
      <c r="A851" t="s">
        <v>1732</v>
      </c>
      <c r="B851">
        <v>54.86</v>
      </c>
      <c r="C851" t="s">
        <v>7</v>
      </c>
      <c r="D851">
        <v>1</v>
      </c>
      <c r="E851" t="s">
        <v>1733</v>
      </c>
      <c r="Z851" t="str">
        <f t="shared" si="13"/>
        <v>Normal</v>
      </c>
    </row>
    <row r="852" spans="1:26">
      <c r="A852" t="s">
        <v>1734</v>
      </c>
      <c r="B852">
        <v>52.62</v>
      </c>
      <c r="C852" t="s">
        <v>7</v>
      </c>
      <c r="D852">
        <v>3</v>
      </c>
      <c r="E852" t="s">
        <v>1735</v>
      </c>
      <c r="Z852" t="str">
        <f t="shared" si="13"/>
        <v>Normal</v>
      </c>
    </row>
    <row r="853" spans="1:26">
      <c r="A853" t="s">
        <v>1736</v>
      </c>
      <c r="B853">
        <v>51.48</v>
      </c>
      <c r="C853" t="s">
        <v>7</v>
      </c>
      <c r="D853">
        <v>1</v>
      </c>
      <c r="E853" t="s">
        <v>1737</v>
      </c>
      <c r="Z853" t="str">
        <f t="shared" si="13"/>
        <v>Normal</v>
      </c>
    </row>
    <row r="854" spans="1:26">
      <c r="A854" t="s">
        <v>1738</v>
      </c>
      <c r="B854">
        <v>15.28</v>
      </c>
      <c r="C854" t="s">
        <v>7</v>
      </c>
      <c r="D854">
        <v>5</v>
      </c>
      <c r="E854" t="s">
        <v>1739</v>
      </c>
      <c r="Z854" t="str">
        <f t="shared" si="13"/>
        <v>Normal</v>
      </c>
    </row>
    <row r="855" spans="1:26">
      <c r="A855" t="s">
        <v>1740</v>
      </c>
      <c r="B855">
        <v>39.24</v>
      </c>
      <c r="C855" t="s">
        <v>7</v>
      </c>
      <c r="D855">
        <v>5</v>
      </c>
      <c r="E855" t="s">
        <v>1741</v>
      </c>
      <c r="Z855" t="str">
        <f t="shared" si="13"/>
        <v>Normal</v>
      </c>
    </row>
    <row r="856" spans="1:26">
      <c r="A856" t="s">
        <v>1742</v>
      </c>
      <c r="B856">
        <v>17.809999999999999</v>
      </c>
      <c r="C856" t="s">
        <v>7</v>
      </c>
      <c r="D856">
        <v>1</v>
      </c>
      <c r="E856" t="s">
        <v>1743</v>
      </c>
      <c r="Z856" t="str">
        <f t="shared" si="13"/>
        <v>Normal</v>
      </c>
    </row>
    <row r="857" spans="1:26">
      <c r="A857" t="s">
        <v>1744</v>
      </c>
      <c r="B857">
        <v>56.02</v>
      </c>
      <c r="C857" t="s">
        <v>7</v>
      </c>
      <c r="D857">
        <v>1</v>
      </c>
      <c r="E857" t="s">
        <v>1745</v>
      </c>
      <c r="Z857" t="str">
        <f t="shared" si="13"/>
        <v>Normal</v>
      </c>
    </row>
    <row r="858" spans="1:26">
      <c r="A858" t="s">
        <v>1746</v>
      </c>
      <c r="B858">
        <v>23.9</v>
      </c>
      <c r="C858" t="s">
        <v>7</v>
      </c>
      <c r="D858">
        <v>5</v>
      </c>
      <c r="E858" t="s">
        <v>1747</v>
      </c>
      <c r="Z858" t="str">
        <f t="shared" si="13"/>
        <v>Normal</v>
      </c>
    </row>
    <row r="859" spans="1:26">
      <c r="A859" t="s">
        <v>1748</v>
      </c>
      <c r="B859">
        <v>49.13</v>
      </c>
      <c r="C859" t="s">
        <v>7</v>
      </c>
      <c r="D859">
        <v>5</v>
      </c>
      <c r="E859" t="s">
        <v>1749</v>
      </c>
      <c r="Z859" t="str">
        <f t="shared" si="13"/>
        <v>Normal</v>
      </c>
    </row>
    <row r="860" spans="1:26">
      <c r="A860" t="s">
        <v>1750</v>
      </c>
      <c r="B860">
        <v>10.62</v>
      </c>
      <c r="C860" t="s">
        <v>7</v>
      </c>
      <c r="D860">
        <v>1</v>
      </c>
      <c r="E860" t="s">
        <v>1751</v>
      </c>
      <c r="Z860" t="str">
        <f t="shared" si="13"/>
        <v>Normal</v>
      </c>
    </row>
    <row r="861" spans="1:26">
      <c r="A861" t="s">
        <v>1752</v>
      </c>
      <c r="B861">
        <v>36.17</v>
      </c>
      <c r="C861" t="s">
        <v>7</v>
      </c>
      <c r="D861">
        <v>2</v>
      </c>
      <c r="E861" t="s">
        <v>1753</v>
      </c>
      <c r="Z861" t="str">
        <f t="shared" si="13"/>
        <v>Normal</v>
      </c>
    </row>
    <row r="862" spans="1:26">
      <c r="A862" t="s">
        <v>1754</v>
      </c>
      <c r="B862">
        <v>59.95</v>
      </c>
      <c r="C862" t="s">
        <v>7</v>
      </c>
      <c r="D862">
        <v>2</v>
      </c>
      <c r="E862" t="s">
        <v>1755</v>
      </c>
      <c r="Z862" t="str">
        <f t="shared" si="13"/>
        <v>Normal</v>
      </c>
    </row>
    <row r="863" spans="1:26">
      <c r="A863" t="s">
        <v>1756</v>
      </c>
      <c r="B863">
        <v>26.09</v>
      </c>
      <c r="C863" t="s">
        <v>7</v>
      </c>
      <c r="D863">
        <v>1</v>
      </c>
      <c r="E863" t="s">
        <v>1757</v>
      </c>
      <c r="Z863" t="str">
        <f t="shared" si="13"/>
        <v>Normal</v>
      </c>
    </row>
    <row r="864" spans="1:26">
      <c r="A864" t="s">
        <v>1758</v>
      </c>
      <c r="B864">
        <v>37.35</v>
      </c>
      <c r="C864" t="s">
        <v>7</v>
      </c>
      <c r="D864">
        <v>2</v>
      </c>
      <c r="E864" t="s">
        <v>1759</v>
      </c>
      <c r="Z864" t="str">
        <f t="shared" si="13"/>
        <v>Normal</v>
      </c>
    </row>
    <row r="865" spans="1:26">
      <c r="A865" t="s">
        <v>1760</v>
      </c>
      <c r="B865">
        <v>24.72</v>
      </c>
      <c r="C865" t="s">
        <v>7</v>
      </c>
      <c r="D865">
        <v>2</v>
      </c>
      <c r="E865" t="s">
        <v>1761</v>
      </c>
      <c r="Z865" t="str">
        <f t="shared" si="13"/>
        <v>Normal</v>
      </c>
    </row>
    <row r="866" spans="1:26">
      <c r="A866" t="s">
        <v>1762</v>
      </c>
      <c r="B866">
        <v>35.28</v>
      </c>
      <c r="C866" t="s">
        <v>7</v>
      </c>
      <c r="D866">
        <v>5</v>
      </c>
      <c r="E866" t="s">
        <v>1763</v>
      </c>
      <c r="Z866" t="str">
        <f t="shared" si="13"/>
        <v>Normal</v>
      </c>
    </row>
    <row r="867" spans="1:26">
      <c r="A867" t="s">
        <v>1764</v>
      </c>
      <c r="B867">
        <v>51.32</v>
      </c>
      <c r="C867" t="s">
        <v>7</v>
      </c>
      <c r="D867">
        <v>5</v>
      </c>
      <c r="E867" t="s">
        <v>1765</v>
      </c>
      <c r="Z867" t="str">
        <f t="shared" si="13"/>
        <v>Normal</v>
      </c>
    </row>
    <row r="868" spans="1:26">
      <c r="A868" t="s">
        <v>1766</v>
      </c>
      <c r="B868">
        <v>21.12</v>
      </c>
      <c r="C868" t="s">
        <v>7</v>
      </c>
      <c r="D868">
        <v>3</v>
      </c>
      <c r="E868" t="s">
        <v>1767</v>
      </c>
      <c r="Z868" t="str">
        <f t="shared" si="13"/>
        <v>Normal</v>
      </c>
    </row>
    <row r="869" spans="1:26">
      <c r="A869" t="s">
        <v>1768</v>
      </c>
      <c r="B869">
        <v>27.35</v>
      </c>
      <c r="C869" t="s">
        <v>7</v>
      </c>
      <c r="D869">
        <v>2</v>
      </c>
      <c r="E869" t="s">
        <v>1769</v>
      </c>
      <c r="Z869" t="str">
        <f t="shared" si="13"/>
        <v>Normal</v>
      </c>
    </row>
    <row r="870" spans="1:26">
      <c r="A870" t="s">
        <v>1770</v>
      </c>
      <c r="B870">
        <v>21.74</v>
      </c>
      <c r="C870" t="s">
        <v>7</v>
      </c>
      <c r="D870">
        <v>5</v>
      </c>
      <c r="E870" t="s">
        <v>1771</v>
      </c>
      <c r="Z870" t="str">
        <f t="shared" si="13"/>
        <v>Normal</v>
      </c>
    </row>
    <row r="871" spans="1:26">
      <c r="A871" t="s">
        <v>1772</v>
      </c>
      <c r="B871">
        <v>40.869999999999997</v>
      </c>
      <c r="C871" t="s">
        <v>7</v>
      </c>
      <c r="D871">
        <v>1</v>
      </c>
      <c r="E871" t="s">
        <v>1773</v>
      </c>
      <c r="Z871" t="str">
        <f t="shared" si="13"/>
        <v>Normal</v>
      </c>
    </row>
    <row r="872" spans="1:26">
      <c r="A872" t="s">
        <v>1774</v>
      </c>
      <c r="B872">
        <v>49.31</v>
      </c>
      <c r="C872" t="s">
        <v>7</v>
      </c>
      <c r="D872">
        <v>1</v>
      </c>
      <c r="E872" t="s">
        <v>1775</v>
      </c>
      <c r="Z872" t="str">
        <f t="shared" si="13"/>
        <v>Normal</v>
      </c>
    </row>
    <row r="873" spans="1:26">
      <c r="A873" t="s">
        <v>1776</v>
      </c>
      <c r="B873">
        <v>22.11</v>
      </c>
      <c r="C873" t="s">
        <v>7</v>
      </c>
      <c r="D873">
        <v>1</v>
      </c>
      <c r="E873" t="s">
        <v>1777</v>
      </c>
      <c r="Z873" t="str">
        <f t="shared" si="13"/>
        <v>Normal</v>
      </c>
    </row>
    <row r="874" spans="1:26">
      <c r="A874" t="s">
        <v>1778</v>
      </c>
      <c r="B874">
        <v>20.79</v>
      </c>
      <c r="C874" t="s">
        <v>7</v>
      </c>
      <c r="D874">
        <v>5</v>
      </c>
      <c r="E874" t="s">
        <v>1779</v>
      </c>
      <c r="Z874" t="str">
        <f t="shared" si="13"/>
        <v>Normal</v>
      </c>
    </row>
    <row r="875" spans="1:26">
      <c r="A875" t="s">
        <v>1780</v>
      </c>
      <c r="B875">
        <v>27.41</v>
      </c>
      <c r="C875" t="s">
        <v>7</v>
      </c>
      <c r="D875">
        <v>2</v>
      </c>
      <c r="E875" t="s">
        <v>1781</v>
      </c>
      <c r="Z875" t="str">
        <f t="shared" si="13"/>
        <v>Normal</v>
      </c>
    </row>
    <row r="876" spans="1:26">
      <c r="A876" t="s">
        <v>1782</v>
      </c>
      <c r="B876">
        <v>38.35</v>
      </c>
      <c r="C876" t="s">
        <v>7</v>
      </c>
      <c r="D876">
        <v>2</v>
      </c>
      <c r="E876" t="s">
        <v>1783</v>
      </c>
      <c r="Z876" t="str">
        <f t="shared" si="13"/>
        <v>Normal</v>
      </c>
    </row>
    <row r="877" spans="1:26">
      <c r="A877" t="s">
        <v>1784</v>
      </c>
      <c r="B877">
        <v>21.55</v>
      </c>
      <c r="C877" t="s">
        <v>7</v>
      </c>
      <c r="D877">
        <v>5</v>
      </c>
      <c r="E877" t="s">
        <v>1785</v>
      </c>
      <c r="Z877" t="str">
        <f t="shared" si="13"/>
        <v>Normal</v>
      </c>
    </row>
    <row r="878" spans="1:26">
      <c r="A878" t="s">
        <v>1786</v>
      </c>
      <c r="B878">
        <v>38.020000000000003</v>
      </c>
      <c r="C878" t="s">
        <v>7</v>
      </c>
      <c r="D878">
        <v>2</v>
      </c>
      <c r="E878" t="s">
        <v>1787</v>
      </c>
      <c r="Z878" t="str">
        <f t="shared" si="13"/>
        <v>Normal</v>
      </c>
    </row>
    <row r="879" spans="1:26">
      <c r="A879" t="s">
        <v>1788</v>
      </c>
      <c r="B879">
        <v>22.06</v>
      </c>
      <c r="C879" t="s">
        <v>7</v>
      </c>
      <c r="D879">
        <v>4</v>
      </c>
      <c r="E879" t="s">
        <v>1789</v>
      </c>
      <c r="Z879" t="str">
        <f t="shared" si="13"/>
        <v>Normal</v>
      </c>
    </row>
    <row r="880" spans="1:26">
      <c r="A880" t="s">
        <v>1790</v>
      </c>
      <c r="B880">
        <v>10.66</v>
      </c>
      <c r="C880" t="s">
        <v>7</v>
      </c>
      <c r="D880">
        <v>3</v>
      </c>
      <c r="E880" t="s">
        <v>1791</v>
      </c>
      <c r="Z880" t="str">
        <f t="shared" si="13"/>
        <v>Normal</v>
      </c>
    </row>
    <row r="881" spans="1:26">
      <c r="A881" t="s">
        <v>1792</v>
      </c>
      <c r="B881">
        <v>56.58</v>
      </c>
      <c r="C881" t="s">
        <v>7</v>
      </c>
      <c r="D881">
        <v>1</v>
      </c>
      <c r="E881" t="s">
        <v>1793</v>
      </c>
      <c r="Z881" t="str">
        <f t="shared" si="13"/>
        <v>Normal</v>
      </c>
    </row>
    <row r="882" spans="1:26">
      <c r="A882" t="s">
        <v>1794</v>
      </c>
      <c r="B882">
        <v>36.83</v>
      </c>
      <c r="C882" t="s">
        <v>7</v>
      </c>
      <c r="D882">
        <v>5</v>
      </c>
      <c r="E882" t="s">
        <v>1795</v>
      </c>
      <c r="Z882" t="str">
        <f t="shared" si="13"/>
        <v>Normal</v>
      </c>
    </row>
    <row r="883" spans="1:26">
      <c r="A883" t="s">
        <v>1796</v>
      </c>
      <c r="B883">
        <v>35.01</v>
      </c>
      <c r="C883" t="s">
        <v>7</v>
      </c>
      <c r="D883">
        <v>2</v>
      </c>
      <c r="E883" t="s">
        <v>1797</v>
      </c>
      <c r="Z883" t="str">
        <f t="shared" si="13"/>
        <v>Normal</v>
      </c>
    </row>
    <row r="884" spans="1:26">
      <c r="A884" t="s">
        <v>1798</v>
      </c>
      <c r="B884">
        <v>30.48</v>
      </c>
      <c r="C884" t="s">
        <v>7</v>
      </c>
      <c r="D884">
        <v>4</v>
      </c>
      <c r="E884" t="s">
        <v>1799</v>
      </c>
      <c r="Z884" t="str">
        <f t="shared" si="13"/>
        <v>Normal</v>
      </c>
    </row>
    <row r="885" spans="1:26">
      <c r="A885" t="s">
        <v>1800</v>
      </c>
      <c r="B885">
        <v>14.08</v>
      </c>
      <c r="C885" t="s">
        <v>7</v>
      </c>
      <c r="D885">
        <v>5</v>
      </c>
      <c r="E885" t="s">
        <v>1801</v>
      </c>
      <c r="Z885" t="str">
        <f t="shared" si="13"/>
        <v>Normal</v>
      </c>
    </row>
    <row r="886" spans="1:26">
      <c r="A886" t="s">
        <v>1802</v>
      </c>
      <c r="B886">
        <v>31.22</v>
      </c>
      <c r="C886" t="s">
        <v>7</v>
      </c>
      <c r="D886">
        <v>2</v>
      </c>
      <c r="E886" t="s">
        <v>1803</v>
      </c>
      <c r="Z886" t="str">
        <f t="shared" si="13"/>
        <v>Normal</v>
      </c>
    </row>
    <row r="887" spans="1:26">
      <c r="A887" t="s">
        <v>1804</v>
      </c>
      <c r="B887">
        <v>54.29</v>
      </c>
      <c r="C887" t="s">
        <v>7</v>
      </c>
      <c r="D887">
        <v>5</v>
      </c>
      <c r="E887" t="s">
        <v>1805</v>
      </c>
      <c r="Z887" t="str">
        <f t="shared" si="13"/>
        <v>Normal</v>
      </c>
    </row>
    <row r="888" spans="1:26">
      <c r="A888" t="s">
        <v>1806</v>
      </c>
      <c r="B888">
        <v>31.04</v>
      </c>
      <c r="C888" t="s">
        <v>7</v>
      </c>
      <c r="D888">
        <v>1</v>
      </c>
      <c r="E888" t="s">
        <v>1807</v>
      </c>
      <c r="Z888" t="str">
        <f t="shared" si="13"/>
        <v>Normal</v>
      </c>
    </row>
    <row r="889" spans="1:26">
      <c r="A889" t="s">
        <v>1808</v>
      </c>
      <c r="B889">
        <v>50.96</v>
      </c>
      <c r="C889" t="s">
        <v>7</v>
      </c>
      <c r="D889">
        <v>1</v>
      </c>
      <c r="E889" t="s">
        <v>1809</v>
      </c>
      <c r="Z889" t="str">
        <f t="shared" si="13"/>
        <v>Normal</v>
      </c>
    </row>
    <row r="890" spans="1:26">
      <c r="A890" t="s">
        <v>1810</v>
      </c>
      <c r="B890">
        <v>11.89</v>
      </c>
      <c r="C890" t="s">
        <v>7</v>
      </c>
      <c r="D890">
        <v>2</v>
      </c>
      <c r="E890" t="s">
        <v>1811</v>
      </c>
      <c r="Z890" t="str">
        <f t="shared" si="13"/>
        <v>Normal</v>
      </c>
    </row>
    <row r="891" spans="1:26">
      <c r="A891" t="s">
        <v>1812</v>
      </c>
      <c r="B891">
        <v>31.38</v>
      </c>
      <c r="C891" t="s">
        <v>7</v>
      </c>
      <c r="D891">
        <v>3</v>
      </c>
      <c r="E891" t="s">
        <v>1813</v>
      </c>
      <c r="Z891" t="str">
        <f t="shared" si="13"/>
        <v>Normal</v>
      </c>
    </row>
    <row r="892" spans="1:26">
      <c r="A892" t="s">
        <v>1814</v>
      </c>
      <c r="B892">
        <v>54.81</v>
      </c>
      <c r="C892" t="s">
        <v>7</v>
      </c>
      <c r="D892">
        <v>1</v>
      </c>
      <c r="E892" t="s">
        <v>1815</v>
      </c>
      <c r="Z892" t="str">
        <f t="shared" si="13"/>
        <v>Normal</v>
      </c>
    </row>
    <row r="893" spans="1:26">
      <c r="A893" t="s">
        <v>1816</v>
      </c>
      <c r="B893">
        <v>16.78</v>
      </c>
      <c r="C893" t="s">
        <v>7</v>
      </c>
      <c r="D893">
        <v>3</v>
      </c>
      <c r="E893" t="s">
        <v>1817</v>
      </c>
      <c r="Z893" t="str">
        <f t="shared" si="13"/>
        <v>Normal</v>
      </c>
    </row>
    <row r="894" spans="1:26">
      <c r="A894" t="s">
        <v>1818</v>
      </c>
      <c r="B894">
        <v>24.42</v>
      </c>
      <c r="C894" t="s">
        <v>7</v>
      </c>
      <c r="D894">
        <v>1</v>
      </c>
      <c r="E894" t="s">
        <v>1819</v>
      </c>
      <c r="Z894" t="str">
        <f t="shared" si="13"/>
        <v>Normal</v>
      </c>
    </row>
    <row r="895" spans="1:26">
      <c r="A895" t="s">
        <v>1820</v>
      </c>
      <c r="B895">
        <v>11.75</v>
      </c>
      <c r="C895" t="s">
        <v>7</v>
      </c>
      <c r="D895">
        <v>3</v>
      </c>
      <c r="E895" t="s">
        <v>1821</v>
      </c>
      <c r="Z895" t="str">
        <f t="shared" si="13"/>
        <v>Normal</v>
      </c>
    </row>
    <row r="896" spans="1:26">
      <c r="A896" t="s">
        <v>1822</v>
      </c>
      <c r="B896">
        <v>20.02</v>
      </c>
      <c r="C896" t="s">
        <v>7</v>
      </c>
      <c r="D896">
        <v>1</v>
      </c>
      <c r="E896" t="s">
        <v>1823</v>
      </c>
      <c r="Z896" t="str">
        <f t="shared" si="13"/>
        <v>Normal</v>
      </c>
    </row>
    <row r="897" spans="1:26">
      <c r="A897" t="s">
        <v>1824</v>
      </c>
      <c r="B897">
        <v>12.86</v>
      </c>
      <c r="C897" t="s">
        <v>7</v>
      </c>
      <c r="D897">
        <v>4</v>
      </c>
      <c r="E897" t="s">
        <v>1825</v>
      </c>
      <c r="Z897" t="str">
        <f t="shared" si="13"/>
        <v>Normal</v>
      </c>
    </row>
    <row r="898" spans="1:26">
      <c r="A898" t="s">
        <v>1826</v>
      </c>
      <c r="B898">
        <v>31.58</v>
      </c>
      <c r="C898" t="s">
        <v>7</v>
      </c>
      <c r="D898">
        <v>5</v>
      </c>
      <c r="E898" t="s">
        <v>1827</v>
      </c>
      <c r="Z898" t="str">
        <f t="shared" si="13"/>
        <v>Normal</v>
      </c>
    </row>
    <row r="899" spans="1:26">
      <c r="A899" t="s">
        <v>1828</v>
      </c>
      <c r="B899">
        <v>34</v>
      </c>
      <c r="C899" t="s">
        <v>7</v>
      </c>
      <c r="D899">
        <v>3</v>
      </c>
      <c r="E899" t="s">
        <v>1829</v>
      </c>
      <c r="Z899" t="str">
        <f t="shared" si="13"/>
        <v>Normal</v>
      </c>
    </row>
    <row r="900" spans="1:26">
      <c r="A900" t="s">
        <v>1830</v>
      </c>
      <c r="B900">
        <v>57.42</v>
      </c>
      <c r="C900" t="s">
        <v>7</v>
      </c>
      <c r="D900">
        <v>5</v>
      </c>
      <c r="E900" t="s">
        <v>1831</v>
      </c>
      <c r="Z900" t="str">
        <f t="shared" si="13"/>
        <v>Normal</v>
      </c>
    </row>
    <row r="901" spans="1:26">
      <c r="A901" t="s">
        <v>1832</v>
      </c>
      <c r="B901">
        <v>53.47</v>
      </c>
      <c r="C901" t="s">
        <v>7</v>
      </c>
      <c r="D901">
        <v>1</v>
      </c>
      <c r="E901" t="s">
        <v>1833</v>
      </c>
      <c r="Z901" t="str">
        <f t="shared" si="13"/>
        <v>Normal</v>
      </c>
    </row>
    <row r="902" spans="1:26">
      <c r="A902" t="s">
        <v>1834</v>
      </c>
      <c r="B902">
        <v>11.64</v>
      </c>
      <c r="C902" t="s">
        <v>7</v>
      </c>
      <c r="D902">
        <v>5</v>
      </c>
      <c r="E902" t="s">
        <v>1835</v>
      </c>
      <c r="Z902" t="str">
        <f t="shared" si="13"/>
        <v>Normal</v>
      </c>
    </row>
    <row r="903" spans="1:26">
      <c r="A903" t="s">
        <v>1836</v>
      </c>
      <c r="B903">
        <v>52.88</v>
      </c>
      <c r="C903" t="s">
        <v>7</v>
      </c>
      <c r="D903">
        <v>4</v>
      </c>
      <c r="E903" t="s">
        <v>1837</v>
      </c>
      <c r="Z903" t="str">
        <f t="shared" si="13"/>
        <v>Normal</v>
      </c>
    </row>
    <row r="904" spans="1:26">
      <c r="A904" t="s">
        <v>1838</v>
      </c>
      <c r="B904">
        <v>18.510000000000002</v>
      </c>
      <c r="C904" t="s">
        <v>7</v>
      </c>
      <c r="D904">
        <v>4</v>
      </c>
      <c r="E904" t="s">
        <v>1839</v>
      </c>
      <c r="Z904" t="str">
        <f t="shared" ref="Z904:Z967" si="14">IF(OR(B904&lt;$U$13, B904&gt;$U$14),"Outlier","Normal")</f>
        <v>Normal</v>
      </c>
    </row>
    <row r="905" spans="1:26">
      <c r="A905" t="s">
        <v>1840</v>
      </c>
      <c r="B905">
        <v>41.32</v>
      </c>
      <c r="C905" t="s">
        <v>7</v>
      </c>
      <c r="D905">
        <v>5</v>
      </c>
      <c r="E905" t="s">
        <v>1841</v>
      </c>
      <c r="Z905" t="str">
        <f t="shared" si="14"/>
        <v>Normal</v>
      </c>
    </row>
    <row r="906" spans="1:26">
      <c r="A906" t="s">
        <v>1842</v>
      </c>
      <c r="B906">
        <v>39.770000000000003</v>
      </c>
      <c r="C906" t="s">
        <v>7</v>
      </c>
      <c r="D906">
        <v>3</v>
      </c>
      <c r="E906" t="s">
        <v>1843</v>
      </c>
      <c r="Z906" t="str">
        <f t="shared" si="14"/>
        <v>Normal</v>
      </c>
    </row>
    <row r="907" spans="1:26">
      <c r="A907" t="s">
        <v>1844</v>
      </c>
      <c r="B907">
        <v>51.96</v>
      </c>
      <c r="C907" t="s">
        <v>7</v>
      </c>
      <c r="D907">
        <v>3</v>
      </c>
      <c r="E907" t="s">
        <v>1845</v>
      </c>
      <c r="Z907" t="str">
        <f t="shared" si="14"/>
        <v>Normal</v>
      </c>
    </row>
    <row r="908" spans="1:26">
      <c r="A908" t="s">
        <v>1846</v>
      </c>
      <c r="B908">
        <v>39.51</v>
      </c>
      <c r="C908" t="s">
        <v>7</v>
      </c>
      <c r="D908">
        <v>5</v>
      </c>
      <c r="E908" t="s">
        <v>1847</v>
      </c>
      <c r="Z908" t="str">
        <f t="shared" si="14"/>
        <v>Normal</v>
      </c>
    </row>
    <row r="909" spans="1:26">
      <c r="A909" t="s">
        <v>1848</v>
      </c>
      <c r="B909">
        <v>15.4</v>
      </c>
      <c r="C909" t="s">
        <v>7</v>
      </c>
      <c r="D909">
        <v>1</v>
      </c>
      <c r="E909" t="s">
        <v>1849</v>
      </c>
      <c r="Z909" t="str">
        <f t="shared" si="14"/>
        <v>Normal</v>
      </c>
    </row>
    <row r="910" spans="1:26">
      <c r="A910" t="s">
        <v>1850</v>
      </c>
      <c r="B910">
        <v>53.82</v>
      </c>
      <c r="C910" t="s">
        <v>7</v>
      </c>
      <c r="D910">
        <v>2</v>
      </c>
      <c r="E910" t="s">
        <v>1851</v>
      </c>
      <c r="Z910" t="str">
        <f t="shared" si="14"/>
        <v>Normal</v>
      </c>
    </row>
    <row r="911" spans="1:26">
      <c r="A911" t="s">
        <v>1852</v>
      </c>
      <c r="B911">
        <v>30.95</v>
      </c>
      <c r="C911" t="s">
        <v>7</v>
      </c>
      <c r="D911">
        <v>4</v>
      </c>
      <c r="E911" t="s">
        <v>1853</v>
      </c>
      <c r="Z911" t="str">
        <f t="shared" si="14"/>
        <v>Normal</v>
      </c>
    </row>
    <row r="912" spans="1:26">
      <c r="A912" t="s">
        <v>1854</v>
      </c>
      <c r="B912">
        <v>57.82</v>
      </c>
      <c r="C912" t="s">
        <v>7</v>
      </c>
      <c r="D912">
        <v>5</v>
      </c>
      <c r="E912" t="s">
        <v>1855</v>
      </c>
      <c r="Z912" t="str">
        <f t="shared" si="14"/>
        <v>Normal</v>
      </c>
    </row>
    <row r="913" spans="1:26">
      <c r="A913" t="s">
        <v>1856</v>
      </c>
      <c r="B913">
        <v>44.18</v>
      </c>
      <c r="C913" t="s">
        <v>7</v>
      </c>
      <c r="D913">
        <v>2</v>
      </c>
      <c r="E913" t="s">
        <v>1857</v>
      </c>
      <c r="Z913" t="str">
        <f t="shared" si="14"/>
        <v>Normal</v>
      </c>
    </row>
    <row r="914" spans="1:26">
      <c r="A914" t="s">
        <v>1858</v>
      </c>
      <c r="B914">
        <v>48.71</v>
      </c>
      <c r="C914" t="s">
        <v>7</v>
      </c>
      <c r="D914">
        <v>1</v>
      </c>
      <c r="E914" t="s">
        <v>1859</v>
      </c>
      <c r="Z914" t="str">
        <f t="shared" si="14"/>
        <v>Normal</v>
      </c>
    </row>
    <row r="915" spans="1:26">
      <c r="A915" t="s">
        <v>1860</v>
      </c>
      <c r="B915">
        <v>19.690000000000001</v>
      </c>
      <c r="C915" t="s">
        <v>7</v>
      </c>
      <c r="D915">
        <v>5</v>
      </c>
      <c r="E915" t="s">
        <v>1861</v>
      </c>
      <c r="Z915" t="str">
        <f t="shared" si="14"/>
        <v>Normal</v>
      </c>
    </row>
    <row r="916" spans="1:26">
      <c r="A916" t="s">
        <v>1862</v>
      </c>
      <c r="B916">
        <v>36.520000000000003</v>
      </c>
      <c r="C916" t="s">
        <v>7</v>
      </c>
      <c r="D916">
        <v>2</v>
      </c>
      <c r="E916" t="s">
        <v>1863</v>
      </c>
      <c r="Z916" t="str">
        <f t="shared" si="14"/>
        <v>Normal</v>
      </c>
    </row>
    <row r="917" spans="1:26">
      <c r="A917" t="s">
        <v>1864</v>
      </c>
      <c r="B917">
        <v>41.56</v>
      </c>
      <c r="C917" t="s">
        <v>7</v>
      </c>
      <c r="D917">
        <v>5</v>
      </c>
      <c r="E917" t="s">
        <v>1865</v>
      </c>
      <c r="Z917" t="str">
        <f t="shared" si="14"/>
        <v>Normal</v>
      </c>
    </row>
    <row r="918" spans="1:26">
      <c r="A918" t="s">
        <v>1866</v>
      </c>
      <c r="B918">
        <v>43.19</v>
      </c>
      <c r="C918" t="s">
        <v>7</v>
      </c>
      <c r="D918">
        <v>4</v>
      </c>
      <c r="E918" t="s">
        <v>1867</v>
      </c>
      <c r="Z918" t="str">
        <f t="shared" si="14"/>
        <v>Normal</v>
      </c>
    </row>
    <row r="919" spans="1:26">
      <c r="A919" t="s">
        <v>1868</v>
      </c>
      <c r="B919">
        <v>12.34</v>
      </c>
      <c r="C919" t="s">
        <v>7</v>
      </c>
      <c r="D919">
        <v>5</v>
      </c>
      <c r="E919" t="s">
        <v>1869</v>
      </c>
      <c r="Z919" t="str">
        <f t="shared" si="14"/>
        <v>Normal</v>
      </c>
    </row>
    <row r="920" spans="1:26">
      <c r="A920" t="s">
        <v>1870</v>
      </c>
      <c r="B920">
        <v>36.25</v>
      </c>
      <c r="C920" t="s">
        <v>7</v>
      </c>
      <c r="D920">
        <v>3</v>
      </c>
      <c r="E920" t="s">
        <v>1871</v>
      </c>
      <c r="Z920" t="str">
        <f t="shared" si="14"/>
        <v>Normal</v>
      </c>
    </row>
    <row r="921" spans="1:26">
      <c r="A921" t="s">
        <v>1872</v>
      </c>
      <c r="B921">
        <v>29.45</v>
      </c>
      <c r="C921" t="s">
        <v>7</v>
      </c>
      <c r="D921">
        <v>1</v>
      </c>
      <c r="E921" t="s">
        <v>1873</v>
      </c>
      <c r="Z921" t="str">
        <f t="shared" si="14"/>
        <v>Normal</v>
      </c>
    </row>
    <row r="922" spans="1:26">
      <c r="A922" t="s">
        <v>1874</v>
      </c>
      <c r="B922">
        <v>34.56</v>
      </c>
      <c r="C922" t="s">
        <v>7</v>
      </c>
      <c r="D922">
        <v>3</v>
      </c>
      <c r="E922" t="s">
        <v>1875</v>
      </c>
      <c r="Z922" t="str">
        <f t="shared" si="14"/>
        <v>Normal</v>
      </c>
    </row>
    <row r="923" spans="1:26">
      <c r="A923" t="s">
        <v>1876</v>
      </c>
      <c r="B923">
        <v>54.12</v>
      </c>
      <c r="C923" t="s">
        <v>7</v>
      </c>
      <c r="D923">
        <v>3</v>
      </c>
      <c r="E923" t="s">
        <v>1877</v>
      </c>
      <c r="Z923" t="str">
        <f t="shared" si="14"/>
        <v>Normal</v>
      </c>
    </row>
    <row r="924" spans="1:26">
      <c r="A924" t="s">
        <v>1878</v>
      </c>
      <c r="B924">
        <v>33.78</v>
      </c>
      <c r="C924" t="s">
        <v>7</v>
      </c>
      <c r="D924">
        <v>3</v>
      </c>
      <c r="E924" t="s">
        <v>1879</v>
      </c>
      <c r="Z924" t="str">
        <f t="shared" si="14"/>
        <v>Normal</v>
      </c>
    </row>
    <row r="925" spans="1:26">
      <c r="A925" t="s">
        <v>1880</v>
      </c>
      <c r="B925">
        <v>29.64</v>
      </c>
      <c r="C925" t="s">
        <v>7</v>
      </c>
      <c r="D925">
        <v>3</v>
      </c>
      <c r="E925" t="s">
        <v>1881</v>
      </c>
      <c r="Z925" t="str">
        <f t="shared" si="14"/>
        <v>Normal</v>
      </c>
    </row>
    <row r="926" spans="1:26">
      <c r="A926" t="s">
        <v>1882</v>
      </c>
      <c r="B926">
        <v>57.7</v>
      </c>
      <c r="C926" t="s">
        <v>7</v>
      </c>
      <c r="D926">
        <v>4</v>
      </c>
      <c r="E926" t="s">
        <v>1883</v>
      </c>
      <c r="Z926" t="str">
        <f t="shared" si="14"/>
        <v>Normal</v>
      </c>
    </row>
    <row r="927" spans="1:26">
      <c r="A927" t="s">
        <v>1884</v>
      </c>
      <c r="B927">
        <v>36.340000000000003</v>
      </c>
      <c r="C927" t="s">
        <v>7</v>
      </c>
      <c r="D927">
        <v>1</v>
      </c>
      <c r="E927" t="s">
        <v>1885</v>
      </c>
      <c r="Z927" t="str">
        <f t="shared" si="14"/>
        <v>Normal</v>
      </c>
    </row>
    <row r="928" spans="1:26">
      <c r="A928" t="s">
        <v>1886</v>
      </c>
      <c r="B928">
        <v>50.59</v>
      </c>
      <c r="C928" t="s">
        <v>7</v>
      </c>
      <c r="D928">
        <v>3</v>
      </c>
      <c r="E928" t="s">
        <v>1887</v>
      </c>
      <c r="Z928" t="str">
        <f t="shared" si="14"/>
        <v>Normal</v>
      </c>
    </row>
    <row r="929" spans="1:26">
      <c r="A929" t="s">
        <v>1888</v>
      </c>
      <c r="B929">
        <v>29.38</v>
      </c>
      <c r="C929" t="s">
        <v>7</v>
      </c>
      <c r="D929">
        <v>1</v>
      </c>
      <c r="E929" t="s">
        <v>1889</v>
      </c>
      <c r="Z929" t="str">
        <f t="shared" si="14"/>
        <v>Normal</v>
      </c>
    </row>
    <row r="930" spans="1:26">
      <c r="A930" t="s">
        <v>1890</v>
      </c>
      <c r="B930">
        <v>45.42</v>
      </c>
      <c r="C930" t="s">
        <v>7</v>
      </c>
      <c r="D930">
        <v>2</v>
      </c>
      <c r="E930" t="s">
        <v>1891</v>
      </c>
      <c r="Z930" t="str">
        <f t="shared" si="14"/>
        <v>Normal</v>
      </c>
    </row>
    <row r="931" spans="1:26">
      <c r="A931" t="s">
        <v>1892</v>
      </c>
      <c r="B931">
        <v>54.43</v>
      </c>
      <c r="C931" t="s">
        <v>7</v>
      </c>
      <c r="D931">
        <v>1</v>
      </c>
      <c r="E931" t="s">
        <v>1893</v>
      </c>
      <c r="Z931" t="str">
        <f t="shared" si="14"/>
        <v>Normal</v>
      </c>
    </row>
    <row r="932" spans="1:26">
      <c r="A932" t="s">
        <v>1894</v>
      </c>
      <c r="B932">
        <v>36.26</v>
      </c>
      <c r="C932" t="s">
        <v>7</v>
      </c>
      <c r="D932">
        <v>2</v>
      </c>
      <c r="E932" t="s">
        <v>1895</v>
      </c>
      <c r="Z932" t="str">
        <f t="shared" si="14"/>
        <v>Normal</v>
      </c>
    </row>
    <row r="933" spans="1:26">
      <c r="A933" t="s">
        <v>1896</v>
      </c>
      <c r="B933">
        <v>16.16</v>
      </c>
      <c r="C933" t="s">
        <v>7</v>
      </c>
      <c r="D933">
        <v>1</v>
      </c>
      <c r="E933" t="s">
        <v>1897</v>
      </c>
      <c r="Z933" t="str">
        <f t="shared" si="14"/>
        <v>Normal</v>
      </c>
    </row>
    <row r="934" spans="1:26">
      <c r="A934" t="s">
        <v>1898</v>
      </c>
      <c r="B934">
        <v>36.29</v>
      </c>
      <c r="C934" t="s">
        <v>7</v>
      </c>
      <c r="D934">
        <v>5</v>
      </c>
      <c r="E934" t="s">
        <v>1899</v>
      </c>
      <c r="Z934" t="str">
        <f t="shared" si="14"/>
        <v>Normal</v>
      </c>
    </row>
    <row r="935" spans="1:26">
      <c r="A935" t="s">
        <v>1900</v>
      </c>
      <c r="B935">
        <v>27.89</v>
      </c>
      <c r="C935" t="s">
        <v>7</v>
      </c>
      <c r="D935">
        <v>5</v>
      </c>
      <c r="E935" t="s">
        <v>1901</v>
      </c>
      <c r="Z935" t="str">
        <f t="shared" si="14"/>
        <v>Normal</v>
      </c>
    </row>
    <row r="936" spans="1:26">
      <c r="A936" t="s">
        <v>1902</v>
      </c>
      <c r="B936">
        <v>12.29</v>
      </c>
      <c r="C936" t="s">
        <v>7</v>
      </c>
      <c r="D936">
        <v>5</v>
      </c>
      <c r="E936" t="s">
        <v>1903</v>
      </c>
      <c r="Z936" t="str">
        <f t="shared" si="14"/>
        <v>Normal</v>
      </c>
    </row>
    <row r="937" spans="1:26">
      <c r="A937" t="s">
        <v>1904</v>
      </c>
      <c r="B937">
        <v>15.85</v>
      </c>
      <c r="C937" t="s">
        <v>7</v>
      </c>
      <c r="D937">
        <v>3</v>
      </c>
      <c r="E937" t="s">
        <v>1905</v>
      </c>
      <c r="Z937" t="str">
        <f t="shared" si="14"/>
        <v>Normal</v>
      </c>
    </row>
    <row r="938" spans="1:26">
      <c r="A938" t="s">
        <v>1906</v>
      </c>
      <c r="B938">
        <v>14.4</v>
      </c>
      <c r="C938" t="s">
        <v>7</v>
      </c>
      <c r="D938">
        <v>1</v>
      </c>
      <c r="E938" t="s">
        <v>1907</v>
      </c>
      <c r="Z938" t="str">
        <f t="shared" si="14"/>
        <v>Normal</v>
      </c>
    </row>
    <row r="939" spans="1:26">
      <c r="A939" t="s">
        <v>1908</v>
      </c>
      <c r="B939">
        <v>19.18</v>
      </c>
      <c r="C939" t="s">
        <v>7</v>
      </c>
      <c r="D939">
        <v>4</v>
      </c>
      <c r="E939" t="s">
        <v>1909</v>
      </c>
      <c r="Z939" t="str">
        <f t="shared" si="14"/>
        <v>Normal</v>
      </c>
    </row>
    <row r="940" spans="1:26">
      <c r="A940" t="s">
        <v>1910</v>
      </c>
      <c r="B940">
        <v>10.64</v>
      </c>
      <c r="C940" t="s">
        <v>7</v>
      </c>
      <c r="D940">
        <v>3</v>
      </c>
      <c r="E940" t="s">
        <v>1911</v>
      </c>
      <c r="Z940" t="str">
        <f t="shared" si="14"/>
        <v>Normal</v>
      </c>
    </row>
    <row r="941" spans="1:26">
      <c r="A941" t="s">
        <v>1912</v>
      </c>
      <c r="B941">
        <v>14.76</v>
      </c>
      <c r="C941" t="s">
        <v>7</v>
      </c>
      <c r="D941">
        <v>3</v>
      </c>
      <c r="E941" t="s">
        <v>1913</v>
      </c>
      <c r="Z941" t="str">
        <f t="shared" si="14"/>
        <v>Normal</v>
      </c>
    </row>
    <row r="942" spans="1:26">
      <c r="A942" t="s">
        <v>1914</v>
      </c>
      <c r="B942">
        <v>57.49</v>
      </c>
      <c r="C942" t="s">
        <v>7</v>
      </c>
      <c r="D942">
        <v>3</v>
      </c>
      <c r="E942" t="s">
        <v>1915</v>
      </c>
      <c r="Z942" t="str">
        <f t="shared" si="14"/>
        <v>Normal</v>
      </c>
    </row>
    <row r="943" spans="1:26">
      <c r="A943" t="s">
        <v>1916</v>
      </c>
      <c r="B943">
        <v>30.66</v>
      </c>
      <c r="C943" t="s">
        <v>7</v>
      </c>
      <c r="D943">
        <v>3</v>
      </c>
      <c r="E943" t="s">
        <v>1917</v>
      </c>
      <c r="Z943" t="str">
        <f t="shared" si="14"/>
        <v>Normal</v>
      </c>
    </row>
    <row r="944" spans="1:26">
      <c r="A944" t="s">
        <v>1918</v>
      </c>
      <c r="B944">
        <v>40.83</v>
      </c>
      <c r="C944" t="s">
        <v>7</v>
      </c>
      <c r="D944">
        <v>4</v>
      </c>
      <c r="E944" t="s">
        <v>1919</v>
      </c>
      <c r="Z944" t="str">
        <f t="shared" si="14"/>
        <v>Normal</v>
      </c>
    </row>
    <row r="945" spans="1:26">
      <c r="A945" t="s">
        <v>1920</v>
      </c>
      <c r="B945">
        <v>18.88</v>
      </c>
      <c r="C945" t="s">
        <v>7</v>
      </c>
      <c r="D945">
        <v>2</v>
      </c>
      <c r="E945" t="s">
        <v>1921</v>
      </c>
      <c r="Z945" t="str">
        <f t="shared" si="14"/>
        <v>Normal</v>
      </c>
    </row>
    <row r="946" spans="1:26">
      <c r="A946" t="s">
        <v>1922</v>
      </c>
      <c r="B946">
        <v>25.83</v>
      </c>
      <c r="C946" t="s">
        <v>7</v>
      </c>
      <c r="D946">
        <v>3</v>
      </c>
      <c r="E946" t="s">
        <v>1923</v>
      </c>
      <c r="Z946" t="str">
        <f t="shared" si="14"/>
        <v>Normal</v>
      </c>
    </row>
    <row r="947" spans="1:26">
      <c r="A947" t="s">
        <v>1924</v>
      </c>
      <c r="B947">
        <v>42.12</v>
      </c>
      <c r="C947" t="s">
        <v>7</v>
      </c>
      <c r="D947">
        <v>3</v>
      </c>
      <c r="E947" t="s">
        <v>1925</v>
      </c>
      <c r="Z947" t="str">
        <f t="shared" si="14"/>
        <v>Normal</v>
      </c>
    </row>
    <row r="948" spans="1:26">
      <c r="A948" t="s">
        <v>1926</v>
      </c>
      <c r="B948">
        <v>13.33</v>
      </c>
      <c r="C948" t="s">
        <v>7</v>
      </c>
      <c r="D948">
        <v>3</v>
      </c>
      <c r="E948" t="s">
        <v>1927</v>
      </c>
      <c r="Z948" t="str">
        <f t="shared" si="14"/>
        <v>Normal</v>
      </c>
    </row>
    <row r="949" spans="1:26">
      <c r="A949" t="s">
        <v>1928</v>
      </c>
      <c r="B949">
        <v>42.4</v>
      </c>
      <c r="C949" t="s">
        <v>7</v>
      </c>
      <c r="D949">
        <v>1</v>
      </c>
      <c r="E949" t="s">
        <v>1929</v>
      </c>
      <c r="Z949" t="str">
        <f t="shared" si="14"/>
        <v>Normal</v>
      </c>
    </row>
    <row r="950" spans="1:26">
      <c r="A950" t="s">
        <v>1930</v>
      </c>
      <c r="B950">
        <v>58.35</v>
      </c>
      <c r="C950" t="s">
        <v>7</v>
      </c>
      <c r="D950">
        <v>3</v>
      </c>
      <c r="E950" t="s">
        <v>1931</v>
      </c>
      <c r="Z950" t="str">
        <f t="shared" si="14"/>
        <v>Normal</v>
      </c>
    </row>
    <row r="951" spans="1:26">
      <c r="A951" t="s">
        <v>1932</v>
      </c>
      <c r="B951">
        <v>21.72</v>
      </c>
      <c r="C951" t="s">
        <v>7</v>
      </c>
      <c r="D951">
        <v>4</v>
      </c>
      <c r="E951" t="s">
        <v>1933</v>
      </c>
      <c r="Z951" t="str">
        <f t="shared" si="14"/>
        <v>Normal</v>
      </c>
    </row>
    <row r="952" spans="1:26">
      <c r="A952" t="s">
        <v>1934</v>
      </c>
      <c r="B952">
        <v>44.91</v>
      </c>
      <c r="C952" t="s">
        <v>7</v>
      </c>
      <c r="D952">
        <v>2</v>
      </c>
      <c r="E952" t="s">
        <v>1935</v>
      </c>
      <c r="Z952" t="str">
        <f t="shared" si="14"/>
        <v>Normal</v>
      </c>
    </row>
    <row r="953" spans="1:26">
      <c r="A953" t="s">
        <v>1936</v>
      </c>
      <c r="B953">
        <v>37.46</v>
      </c>
      <c r="C953" t="s">
        <v>7</v>
      </c>
      <c r="D953">
        <v>1</v>
      </c>
      <c r="E953" t="s">
        <v>1937</v>
      </c>
      <c r="Z953" t="str">
        <f t="shared" si="14"/>
        <v>Normal</v>
      </c>
    </row>
    <row r="954" spans="1:26">
      <c r="A954" t="s">
        <v>1938</v>
      </c>
      <c r="B954">
        <v>28.48</v>
      </c>
      <c r="C954" t="s">
        <v>7</v>
      </c>
      <c r="D954">
        <v>1</v>
      </c>
      <c r="E954" t="s">
        <v>1939</v>
      </c>
      <c r="Z954" t="str">
        <f t="shared" si="14"/>
        <v>Normal</v>
      </c>
    </row>
    <row r="955" spans="1:26">
      <c r="A955" t="s">
        <v>1940</v>
      </c>
      <c r="B955">
        <v>28.34</v>
      </c>
      <c r="C955" t="s">
        <v>7</v>
      </c>
      <c r="D955">
        <v>2</v>
      </c>
      <c r="E955" t="s">
        <v>1941</v>
      </c>
      <c r="Z955" t="str">
        <f t="shared" si="14"/>
        <v>Normal</v>
      </c>
    </row>
    <row r="956" spans="1:26">
      <c r="A956" t="s">
        <v>1942</v>
      </c>
      <c r="B956">
        <v>46.96</v>
      </c>
      <c r="C956" t="s">
        <v>7</v>
      </c>
      <c r="D956">
        <v>5</v>
      </c>
      <c r="E956" t="s">
        <v>1943</v>
      </c>
      <c r="Z956" t="str">
        <f t="shared" si="14"/>
        <v>Normal</v>
      </c>
    </row>
    <row r="957" spans="1:26">
      <c r="A957" t="s">
        <v>1944</v>
      </c>
      <c r="B957">
        <v>24.96</v>
      </c>
      <c r="C957" t="s">
        <v>7</v>
      </c>
      <c r="D957">
        <v>1</v>
      </c>
      <c r="E957" t="s">
        <v>1945</v>
      </c>
      <c r="Z957" t="str">
        <f t="shared" si="14"/>
        <v>Normal</v>
      </c>
    </row>
    <row r="958" spans="1:26">
      <c r="A958" t="s">
        <v>1946</v>
      </c>
      <c r="B958">
        <v>21.71</v>
      </c>
      <c r="C958" t="s">
        <v>7</v>
      </c>
      <c r="D958">
        <v>4</v>
      </c>
      <c r="E958" t="s">
        <v>1947</v>
      </c>
      <c r="Z958" t="str">
        <f t="shared" si="14"/>
        <v>Normal</v>
      </c>
    </row>
    <row r="959" spans="1:26">
      <c r="A959" t="s">
        <v>1948</v>
      </c>
      <c r="B959">
        <v>29.87</v>
      </c>
      <c r="C959" t="s">
        <v>7</v>
      </c>
      <c r="D959">
        <v>3</v>
      </c>
      <c r="E959" t="s">
        <v>1949</v>
      </c>
      <c r="Z959" t="str">
        <f t="shared" si="14"/>
        <v>Normal</v>
      </c>
    </row>
    <row r="960" spans="1:26">
      <c r="A960" t="s">
        <v>1950</v>
      </c>
      <c r="B960">
        <v>28.99</v>
      </c>
      <c r="C960" t="s">
        <v>7</v>
      </c>
      <c r="D960">
        <v>1</v>
      </c>
      <c r="E960" t="s">
        <v>1951</v>
      </c>
      <c r="Z960" t="str">
        <f t="shared" si="14"/>
        <v>Normal</v>
      </c>
    </row>
    <row r="961" spans="1:26">
      <c r="A961" t="s">
        <v>1952</v>
      </c>
      <c r="B961">
        <v>52.94</v>
      </c>
      <c r="C961" t="s">
        <v>7</v>
      </c>
      <c r="D961">
        <v>2</v>
      </c>
      <c r="E961" t="s">
        <v>1953</v>
      </c>
      <c r="Z961" t="str">
        <f t="shared" si="14"/>
        <v>Normal</v>
      </c>
    </row>
    <row r="962" spans="1:26">
      <c r="A962" t="s">
        <v>1954</v>
      </c>
      <c r="B962">
        <v>32.36</v>
      </c>
      <c r="C962" t="s">
        <v>7</v>
      </c>
      <c r="D962">
        <v>3</v>
      </c>
      <c r="E962" t="s">
        <v>1955</v>
      </c>
      <c r="Z962" t="str">
        <f t="shared" si="14"/>
        <v>Normal</v>
      </c>
    </row>
    <row r="963" spans="1:26">
      <c r="A963" t="s">
        <v>1956</v>
      </c>
      <c r="B963">
        <v>55.66</v>
      </c>
      <c r="C963" t="s">
        <v>7</v>
      </c>
      <c r="D963">
        <v>2</v>
      </c>
      <c r="E963" t="s">
        <v>1957</v>
      </c>
      <c r="Z963" t="str">
        <f t="shared" si="14"/>
        <v>Normal</v>
      </c>
    </row>
    <row r="964" spans="1:26">
      <c r="A964" t="s">
        <v>1958</v>
      </c>
      <c r="B964">
        <v>39.450000000000003</v>
      </c>
      <c r="C964" t="s">
        <v>7</v>
      </c>
      <c r="D964">
        <v>5</v>
      </c>
      <c r="E964" t="s">
        <v>1959</v>
      </c>
      <c r="Z964" t="str">
        <f t="shared" si="14"/>
        <v>Normal</v>
      </c>
    </row>
    <row r="965" spans="1:26">
      <c r="A965" t="s">
        <v>1960</v>
      </c>
      <c r="B965">
        <v>47.11</v>
      </c>
      <c r="C965" t="s">
        <v>7</v>
      </c>
      <c r="D965">
        <v>2</v>
      </c>
      <c r="E965" t="s">
        <v>1961</v>
      </c>
      <c r="Z965" t="str">
        <f t="shared" si="14"/>
        <v>Normal</v>
      </c>
    </row>
    <row r="966" spans="1:26">
      <c r="A966" t="s">
        <v>1962</v>
      </c>
      <c r="B966">
        <v>58.75</v>
      </c>
      <c r="C966" t="s">
        <v>7</v>
      </c>
      <c r="D966">
        <v>4</v>
      </c>
      <c r="E966" t="s">
        <v>1963</v>
      </c>
      <c r="Z966" t="str">
        <f t="shared" si="14"/>
        <v>Normal</v>
      </c>
    </row>
    <row r="967" spans="1:26">
      <c r="A967" t="s">
        <v>1964</v>
      </c>
      <c r="B967">
        <v>38.92</v>
      </c>
      <c r="C967" t="s">
        <v>7</v>
      </c>
      <c r="D967">
        <v>2</v>
      </c>
      <c r="E967" t="s">
        <v>1965</v>
      </c>
      <c r="Z967" t="str">
        <f t="shared" si="14"/>
        <v>Normal</v>
      </c>
    </row>
    <row r="968" spans="1:26">
      <c r="A968" t="s">
        <v>1966</v>
      </c>
      <c r="B968">
        <v>39.39</v>
      </c>
      <c r="C968" t="s">
        <v>7</v>
      </c>
      <c r="D968">
        <v>4</v>
      </c>
      <c r="E968" t="s">
        <v>1967</v>
      </c>
      <c r="Z968" t="str">
        <f t="shared" ref="Z968:Z1001" si="15">IF(OR(B968&lt;$U$13, B968&gt;$U$14),"Outlier","Normal")</f>
        <v>Normal</v>
      </c>
    </row>
    <row r="969" spans="1:26">
      <c r="A969" t="s">
        <v>1968</v>
      </c>
      <c r="B969">
        <v>25.89</v>
      </c>
      <c r="C969" t="s">
        <v>7</v>
      </c>
      <c r="D969">
        <v>2</v>
      </c>
      <c r="E969" t="s">
        <v>1969</v>
      </c>
      <c r="Z969" t="str">
        <f t="shared" si="15"/>
        <v>Normal</v>
      </c>
    </row>
    <row r="970" spans="1:26">
      <c r="A970" t="s">
        <v>1970</v>
      </c>
      <c r="B970">
        <v>28.34</v>
      </c>
      <c r="C970" t="s">
        <v>7</v>
      </c>
      <c r="D970">
        <v>1</v>
      </c>
      <c r="E970" t="s">
        <v>1971</v>
      </c>
      <c r="Z970" t="str">
        <f t="shared" si="15"/>
        <v>Normal</v>
      </c>
    </row>
    <row r="971" spans="1:26">
      <c r="A971" t="s">
        <v>1972</v>
      </c>
      <c r="B971">
        <v>27.7</v>
      </c>
      <c r="C971" t="s">
        <v>7</v>
      </c>
      <c r="D971">
        <v>4</v>
      </c>
      <c r="E971" t="s">
        <v>1973</v>
      </c>
      <c r="Z971" t="str">
        <f t="shared" si="15"/>
        <v>Normal</v>
      </c>
    </row>
    <row r="972" spans="1:26">
      <c r="A972" t="s">
        <v>1974</v>
      </c>
      <c r="B972">
        <v>24.89</v>
      </c>
      <c r="C972" t="s">
        <v>7</v>
      </c>
      <c r="D972">
        <v>3</v>
      </c>
      <c r="E972" t="s">
        <v>1975</v>
      </c>
      <c r="Z972" t="str">
        <f t="shared" si="15"/>
        <v>Normal</v>
      </c>
    </row>
    <row r="973" spans="1:26">
      <c r="A973" t="s">
        <v>1976</v>
      </c>
      <c r="B973">
        <v>58.99</v>
      </c>
      <c r="C973" t="s">
        <v>7</v>
      </c>
      <c r="D973">
        <v>3</v>
      </c>
      <c r="E973" t="s">
        <v>1977</v>
      </c>
      <c r="Z973" t="str">
        <f t="shared" si="15"/>
        <v>Normal</v>
      </c>
    </row>
    <row r="974" spans="1:26">
      <c r="A974" t="s">
        <v>1978</v>
      </c>
      <c r="B974">
        <v>57.2</v>
      </c>
      <c r="C974" t="s">
        <v>7</v>
      </c>
      <c r="D974">
        <v>5</v>
      </c>
      <c r="E974" t="s">
        <v>1979</v>
      </c>
      <c r="Z974" t="str">
        <f t="shared" si="15"/>
        <v>Normal</v>
      </c>
    </row>
    <row r="975" spans="1:26">
      <c r="A975" t="s">
        <v>1980</v>
      </c>
      <c r="B975">
        <v>38.43</v>
      </c>
      <c r="C975" t="s">
        <v>7</v>
      </c>
      <c r="D975">
        <v>5</v>
      </c>
      <c r="E975" t="s">
        <v>1981</v>
      </c>
      <c r="Z975" t="str">
        <f t="shared" si="15"/>
        <v>Normal</v>
      </c>
    </row>
    <row r="976" spans="1:26">
      <c r="A976" t="s">
        <v>1982</v>
      </c>
      <c r="B976">
        <v>34.74</v>
      </c>
      <c r="C976" t="s">
        <v>7</v>
      </c>
      <c r="D976">
        <v>4</v>
      </c>
      <c r="E976" t="s">
        <v>1983</v>
      </c>
      <c r="Z976" t="str">
        <f t="shared" si="15"/>
        <v>Normal</v>
      </c>
    </row>
    <row r="977" spans="1:26">
      <c r="A977" t="s">
        <v>1984</v>
      </c>
      <c r="B977">
        <v>40.44</v>
      </c>
      <c r="C977" t="s">
        <v>7</v>
      </c>
      <c r="D977">
        <v>4</v>
      </c>
      <c r="E977" t="s">
        <v>1985</v>
      </c>
      <c r="Z977" t="str">
        <f t="shared" si="15"/>
        <v>Normal</v>
      </c>
    </row>
    <row r="978" spans="1:26">
      <c r="A978" t="s">
        <v>1986</v>
      </c>
      <c r="B978">
        <v>45.24</v>
      </c>
      <c r="C978" t="s">
        <v>7</v>
      </c>
      <c r="D978">
        <v>3</v>
      </c>
      <c r="E978" t="s">
        <v>1987</v>
      </c>
      <c r="Z978" t="str">
        <f t="shared" si="15"/>
        <v>Normal</v>
      </c>
    </row>
    <row r="979" spans="1:26">
      <c r="A979" t="s">
        <v>1988</v>
      </c>
      <c r="B979">
        <v>34.96</v>
      </c>
      <c r="C979" t="s">
        <v>7</v>
      </c>
      <c r="D979">
        <v>4</v>
      </c>
      <c r="E979" t="s">
        <v>1989</v>
      </c>
      <c r="Z979" t="str">
        <f t="shared" si="15"/>
        <v>Normal</v>
      </c>
    </row>
    <row r="980" spans="1:26">
      <c r="A980" t="s">
        <v>1990</v>
      </c>
      <c r="B980">
        <v>56.76</v>
      </c>
      <c r="C980" t="s">
        <v>7</v>
      </c>
      <c r="D980">
        <v>4</v>
      </c>
      <c r="E980" t="s">
        <v>1991</v>
      </c>
      <c r="Z980" t="str">
        <f t="shared" si="15"/>
        <v>Normal</v>
      </c>
    </row>
    <row r="981" spans="1:26">
      <c r="A981" t="s">
        <v>1992</v>
      </c>
      <c r="B981">
        <v>40.28</v>
      </c>
      <c r="C981" t="s">
        <v>7</v>
      </c>
      <c r="D981">
        <v>5</v>
      </c>
      <c r="E981" t="s">
        <v>1993</v>
      </c>
      <c r="Z981" t="str">
        <f t="shared" si="15"/>
        <v>Normal</v>
      </c>
    </row>
    <row r="982" spans="1:26">
      <c r="A982" t="s">
        <v>1994</v>
      </c>
      <c r="B982">
        <v>38</v>
      </c>
      <c r="C982" t="s">
        <v>7</v>
      </c>
      <c r="D982">
        <v>2</v>
      </c>
      <c r="E982" t="s">
        <v>1995</v>
      </c>
      <c r="Z982" t="str">
        <f t="shared" si="15"/>
        <v>Normal</v>
      </c>
    </row>
    <row r="983" spans="1:26">
      <c r="A983" t="s">
        <v>1996</v>
      </c>
      <c r="B983">
        <v>28.8</v>
      </c>
      <c r="C983" t="s">
        <v>7</v>
      </c>
      <c r="D983">
        <v>3</v>
      </c>
      <c r="E983" t="s">
        <v>1997</v>
      </c>
      <c r="Z983" t="str">
        <f t="shared" si="15"/>
        <v>Normal</v>
      </c>
    </row>
    <row r="984" spans="1:26">
      <c r="A984" t="s">
        <v>1998</v>
      </c>
      <c r="B984">
        <v>39.24</v>
      </c>
      <c r="C984" t="s">
        <v>7</v>
      </c>
      <c r="D984">
        <v>3</v>
      </c>
      <c r="E984" t="s">
        <v>1999</v>
      </c>
      <c r="Z984" t="str">
        <f t="shared" si="15"/>
        <v>Normal</v>
      </c>
    </row>
    <row r="985" spans="1:26">
      <c r="A985" t="s">
        <v>2000</v>
      </c>
      <c r="B985">
        <v>32.93</v>
      </c>
      <c r="C985" t="s">
        <v>7</v>
      </c>
      <c r="D985">
        <v>2</v>
      </c>
      <c r="E985" t="s">
        <v>2001</v>
      </c>
      <c r="Z985" t="str">
        <f t="shared" si="15"/>
        <v>Normal</v>
      </c>
    </row>
    <row r="986" spans="1:26">
      <c r="A986" t="s">
        <v>2002</v>
      </c>
      <c r="B986">
        <v>51.32</v>
      </c>
      <c r="C986" t="s">
        <v>7</v>
      </c>
      <c r="D986">
        <v>3</v>
      </c>
      <c r="E986" t="s">
        <v>2003</v>
      </c>
      <c r="Z986" t="str">
        <f t="shared" si="15"/>
        <v>Normal</v>
      </c>
    </row>
    <row r="987" spans="1:26">
      <c r="A987" t="s">
        <v>2004</v>
      </c>
      <c r="B987">
        <v>47.09</v>
      </c>
      <c r="C987" t="s">
        <v>7</v>
      </c>
      <c r="D987">
        <v>5</v>
      </c>
      <c r="E987" t="s">
        <v>2005</v>
      </c>
      <c r="Z987" t="str">
        <f t="shared" si="15"/>
        <v>Normal</v>
      </c>
    </row>
    <row r="988" spans="1:26">
      <c r="A988" t="s">
        <v>2006</v>
      </c>
      <c r="B988">
        <v>28.42</v>
      </c>
      <c r="C988" t="s">
        <v>7</v>
      </c>
      <c r="D988">
        <v>4</v>
      </c>
      <c r="E988" t="s">
        <v>2007</v>
      </c>
      <c r="Z988" t="str">
        <f t="shared" si="15"/>
        <v>Normal</v>
      </c>
    </row>
    <row r="989" spans="1:26">
      <c r="A989" t="s">
        <v>2008</v>
      </c>
      <c r="B989">
        <v>22.85</v>
      </c>
      <c r="C989" t="s">
        <v>7</v>
      </c>
      <c r="D989">
        <v>3</v>
      </c>
      <c r="E989" t="s">
        <v>2009</v>
      </c>
      <c r="Z989" t="str">
        <f t="shared" si="15"/>
        <v>Normal</v>
      </c>
    </row>
    <row r="990" spans="1:26">
      <c r="A990" t="s">
        <v>2010</v>
      </c>
      <c r="B990">
        <v>41.24</v>
      </c>
      <c r="C990" t="s">
        <v>7</v>
      </c>
      <c r="D990">
        <v>1</v>
      </c>
      <c r="E990" t="s">
        <v>2011</v>
      </c>
      <c r="Z990" t="str">
        <f t="shared" si="15"/>
        <v>Normal</v>
      </c>
    </row>
    <row r="991" spans="1:26">
      <c r="A991" t="s">
        <v>2012</v>
      </c>
      <c r="B991">
        <v>39.07</v>
      </c>
      <c r="C991" t="s">
        <v>7</v>
      </c>
      <c r="D991">
        <v>5</v>
      </c>
      <c r="E991" t="s">
        <v>2013</v>
      </c>
      <c r="Z991" t="str">
        <f t="shared" si="15"/>
        <v>Normal</v>
      </c>
    </row>
    <row r="992" spans="1:26">
      <c r="A992" t="s">
        <v>2014</v>
      </c>
      <c r="B992">
        <v>29.82</v>
      </c>
      <c r="C992" t="s">
        <v>7</v>
      </c>
      <c r="D992">
        <v>1</v>
      </c>
      <c r="E992" t="s">
        <v>2015</v>
      </c>
      <c r="Z992" t="str">
        <f t="shared" si="15"/>
        <v>Normal</v>
      </c>
    </row>
    <row r="993" spans="1:26">
      <c r="A993" t="s">
        <v>2016</v>
      </c>
      <c r="B993">
        <v>37.26</v>
      </c>
      <c r="C993" t="s">
        <v>7</v>
      </c>
      <c r="D993">
        <v>4</v>
      </c>
      <c r="E993" t="s">
        <v>2017</v>
      </c>
      <c r="Z993" t="str">
        <f t="shared" si="15"/>
        <v>Normal</v>
      </c>
    </row>
    <row r="994" spans="1:26">
      <c r="A994" t="s">
        <v>2018</v>
      </c>
      <c r="B994">
        <v>20.3</v>
      </c>
      <c r="C994" t="s">
        <v>7</v>
      </c>
      <c r="D994">
        <v>3</v>
      </c>
      <c r="E994" t="s">
        <v>2019</v>
      </c>
      <c r="Z994" t="str">
        <f t="shared" si="15"/>
        <v>Normal</v>
      </c>
    </row>
    <row r="995" spans="1:26">
      <c r="A995" t="s">
        <v>2020</v>
      </c>
      <c r="B995">
        <v>34.65</v>
      </c>
      <c r="C995" t="s">
        <v>7</v>
      </c>
      <c r="D995">
        <v>5</v>
      </c>
      <c r="E995" t="s">
        <v>2021</v>
      </c>
      <c r="Z995" t="str">
        <f t="shared" si="15"/>
        <v>Normal</v>
      </c>
    </row>
    <row r="996" spans="1:26">
      <c r="A996" t="s">
        <v>2022</v>
      </c>
      <c r="B996">
        <v>43.38</v>
      </c>
      <c r="C996" t="s">
        <v>7</v>
      </c>
      <c r="D996">
        <v>1</v>
      </c>
      <c r="E996" t="s">
        <v>2023</v>
      </c>
      <c r="Z996" t="str">
        <f t="shared" si="15"/>
        <v>Normal</v>
      </c>
    </row>
    <row r="997" spans="1:26">
      <c r="A997" t="s">
        <v>2024</v>
      </c>
      <c r="B997">
        <v>55.53</v>
      </c>
      <c r="C997" t="s">
        <v>7</v>
      </c>
      <c r="D997">
        <v>1</v>
      </c>
      <c r="E997" t="s">
        <v>2025</v>
      </c>
      <c r="Z997" t="str">
        <f t="shared" si="15"/>
        <v>Normal</v>
      </c>
    </row>
    <row r="998" spans="1:26">
      <c r="A998" t="s">
        <v>2026</v>
      </c>
      <c r="B998">
        <v>57.06</v>
      </c>
      <c r="C998" t="s">
        <v>7</v>
      </c>
      <c r="D998">
        <v>4</v>
      </c>
      <c r="E998" t="s">
        <v>2027</v>
      </c>
      <c r="Z998" t="str">
        <f t="shared" si="15"/>
        <v>Normal</v>
      </c>
    </row>
    <row r="999" spans="1:26">
      <c r="A999" t="s">
        <v>2028</v>
      </c>
      <c r="B999">
        <v>16.97</v>
      </c>
      <c r="C999" t="s">
        <v>7</v>
      </c>
      <c r="D999">
        <v>5</v>
      </c>
      <c r="E999" t="s">
        <v>2029</v>
      </c>
      <c r="Z999" t="str">
        <f t="shared" si="15"/>
        <v>Normal</v>
      </c>
    </row>
    <row r="1000" spans="1:26">
      <c r="A1000" t="s">
        <v>2030</v>
      </c>
      <c r="B1000">
        <v>53.98</v>
      </c>
      <c r="C1000" t="s">
        <v>7</v>
      </c>
      <c r="D1000">
        <v>1</v>
      </c>
      <c r="E1000" t="s">
        <v>2031</v>
      </c>
      <c r="Z1000" t="str">
        <f t="shared" si="15"/>
        <v>Normal</v>
      </c>
    </row>
    <row r="1001" spans="1:26">
      <c r="A1001" t="s">
        <v>2032</v>
      </c>
      <c r="B1001">
        <v>26.08</v>
      </c>
      <c r="C1001" t="s">
        <v>7</v>
      </c>
      <c r="D1001">
        <v>5</v>
      </c>
      <c r="E1001" t="s">
        <v>2033</v>
      </c>
      <c r="Z1001" t="str">
        <f t="shared" si="15"/>
        <v>Normal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2025-12-07T08:18:22Z</dcterms:created>
  <dcterms:modified xsi:type="dcterms:W3CDTF">2025-12-07T09:47:30Z</dcterms:modified>
  <cp:category/>
  <cp:contentStatus/>
</cp:coreProperties>
</file>